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527" codeName="{4D1C537B-E38A-612A-F078-A93A15B4B7F4}"/>
  <workbookPr codeName="ThisWorkbook" autoCompressPictures="0"/>
  <mc:AlternateContent xmlns:mc="http://schemas.openxmlformats.org/markup-compatibility/2006">
    <mc:Choice Requires="x15">
      <x15ac:absPath xmlns:x15ac="http://schemas.microsoft.com/office/spreadsheetml/2010/11/ac" url="D:\3rd semester\.Mini project\"/>
    </mc:Choice>
  </mc:AlternateContent>
  <xr:revisionPtr revIDLastSave="0" documentId="8_{1B7DD27B-2682-4B87-94C7-B0A23C46895C}" xr6:coauthVersionLast="47" xr6:coauthVersionMax="47" xr10:uidLastSave="{00000000-0000-0000-0000-000000000000}"/>
  <bookViews>
    <workbookView xWindow="-120" yWindow="-120" windowWidth="20730" windowHeight="11160" tabRatio="155" firstSheet="4" activeTab="4" xr2:uid="{00000000-000D-0000-FFFF-FFFF00000000}"/>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91029" calcMode="manual"/>
  <pivotCaches>
    <pivotCache cacheId="0" r:id="rId9"/>
  </pivotCaches>
  <fileRecoveryPr repairLoad="1"/>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<sst xmlns="http://schemas.openxmlformats.org/spreadsheetml/2006/main" count="776" uniqueCount="359">
  <si>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</si>
  <si>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</si>
  <si>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</si>
  <si>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</si>
  <si>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</si>
  <si>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</si>
  <si>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</si>
  <si>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</si>
  <si>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</si>
  <si>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</si>
  <si>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</si>
  <si>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</si>
  <si>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</si>
  <si>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</si>
  <si>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</si>
  <si>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</si>
  <si>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</si>
  <si>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</si>
  <si>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</si>
  <si>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</si>
  <si>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</si>
  <si>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</si>
  <si>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</si>
  <si>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</si>
  <si>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</si>
  <si>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</si>
  <si>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</si>
  <si>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</si>
  <si>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</si>
  <si>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</si>
  <si>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</si>
  <si>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</si>
  <si>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</si>
  <si>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</si>
  <si>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</si>
  <si>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</si>
  <si>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</si>
  <si>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</si>
  <si>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</si>
  <si>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</si>
  <si>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</si>
  <si>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</si>
  <si>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</si>
  <si>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</si>
  <si>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</si>
  <si>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</si>
  <si>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</si>
  <si>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</si>
  <si>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</si>
  <si>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</si>
  <si>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</si>
  <si>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</si>
  <si>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</si>
  <si>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</si>
  <si>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</si>
  <si>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</si>
  <si>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</si>
  <si>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</si>
  <si>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</si>
  <si>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</si>
  <si>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</si>
  <si>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</si>
  <si>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</si>
  <si>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</si>
  <si>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</si>
  <si>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</si>
  <si>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</si>
  <si>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</si>
  <si>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</si>
  <si>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</si>
  <si>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</si>
  <si>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</si>
  <si>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</si>
  <si>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</si>
  <si>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</si>
  <si>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</si>
  <si>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</si>
  <si>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</si>
  <si>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</si>
  <si>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</si>
  <si>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</si>
  <si>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</si>
  <si>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</si>
  <si>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</si>
  <si>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</si>
  <si>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</si>
  <si>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</si>
  <si>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</si>
  <si>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</si>
  <si>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</si>
  <si>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</si>
  <si>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</si>
  <si>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</si>
  <si>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</si>
  <si>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</si>
  <si>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</si>
  <si>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</si>
  <si>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</si>
  <si>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</si>
  <si>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</si>
  <si>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</si>
  <si>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</si>
  <si>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</si>
  <si>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</si>
  <si>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</si>
  <si>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</si>
  <si>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</si>
  <si>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</si>
  <si>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</si>
  <si>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</si>
  <si>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</si>
  <si>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</si>
  <si>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</si>
  <si>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</si>
  <si>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</si>
  <si>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</si>
  <si>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</si>
  <si>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</si>
  <si>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</si>
  <si>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</si>
  <si>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</si>
  <si>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</si>
  <si>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</si>
  <si>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</si>
  <si>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</si>
  <si>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</si>
  <si>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</si>
  <si>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</si>
  <si>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</si>
  <si>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</si>
  <si>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</si>
  <si>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</si>
  <si>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</si>
  <si>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</si>
  <si>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</si>
  <si>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</si>
  <si>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</si>
  <si>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</si>
  <si>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</si>
  <si>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</si>
  <si>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</si>
  <si>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</si>
  <si>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</si>
  <si>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</si>
  <si>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</si>
  <si>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</si>
  <si>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</si>
  <si>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</si>
  <si>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</si>
  <si>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</si>
  <si>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</si>
  <si>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</si>
  <si>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</si>
  <si>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</si>
  <si>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</si>
  <si>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</si>
  <si>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</si>
  <si>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</si>
  <si>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</si>
  <si>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</si>
  <si>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</si>
  <si>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</si>
  <si>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</si>
  <si>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</si>
  <si>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</si>
  <si>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</si>
  <si>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</si>
  <si>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</si>
  <si>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</si>
  <si>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</si>
  <si>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</si>
  <si>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</si>
  <si>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</si>
  <si>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</si>
  <si>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</si>
  <si>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</si>
  <si>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</si>
  <si>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</si>
  <si>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</si>
  <si>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</si>
  <si>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</si>
  <si>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</si>
  <si>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</si>
  <si>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</si>
  <si>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</si>
  <si>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</si>
  <si>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</si>
  <si>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</si>
  <si>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</si>
  <si>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</si>
  <si>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</si>
  <si>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</si>
  <si>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</si>
  <si>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</si>
  <si>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</si>
  <si>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</si>
  <si>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</si>
  <si>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</si>
  <si>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</si>
  <si>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</si>
  <si>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</si>
  <si>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</si>
  <si>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</si>
  <si>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</si>
  <si>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</si>
  <si>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</si>
  <si>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</si>
  <si>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</si>
  <si>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</si>
  <si>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</si>
  <si>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</si>
  <si>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</si>
  <si>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</si>
  <si>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</si>
  <si>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</si>
  <si>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</si>
  <si>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</si>
  <si>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</si>
  <si>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</si>
  <si>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</si>
  <si>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</si>
  <si>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</si>
  <si>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</si>
  <si>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</si>
  <si>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</si>
  <si>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</si>
  <si>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</si>
  <si>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</si>
  <si>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</si>
  <si>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</si>
  <si>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</si>
  <si>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</si>
  <si>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</si>
  <si>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</si>
  <si>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</si>
  <si>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</si>
  <si>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</si>
  <si>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</si>
  <si>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</si>
  <si>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</si>
  <si>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</si>
  <si>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</si>
  <si>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</si>
  <si>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</si>
  <si>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</si>
  <si>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</si>
  <si>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</si>
  <si>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</si>
  <si>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</si>
  <si>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</si>
  <si>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</si>
  <si>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</si>
  <si>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</si>
  <si>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</si>
  <si>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</si>
  <si>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</si>
  <si>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</si>
  <si>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</si>
  <si>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</si>
  <si>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</si>
  <si>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</si>
  <si>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</si>
  <si>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</si>
  <si>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</si>
  <si>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</si>
  <si>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</si>
  <si>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</si>
  <si>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</si>
  <si>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</si>
  <si>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</si>
  <si>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</si>
  <si>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</si>
  <si>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</si>
  <si>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</si>
  <si>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</si>
  <si>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</si>
  <si>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</si>
  <si>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</si>
  <si>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</si>
  <si>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</si>
  <si>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</si>
  <si>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</si>
  <si>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</si>
  <si>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Test</t>
  </si>
  <si>
    <t>9023659094864013771059744140</t>
  </si>
  <si>
    <t>Quick Start Guide</t>
  </si>
  <si>
    <t>Project Name - Health Is One</t>
  </si>
  <si>
    <t xml:space="preserve">Group Formation </t>
  </si>
  <si>
    <t>Project Topic Confirmation</t>
  </si>
  <si>
    <t>Project creating platform</t>
  </si>
  <si>
    <t>MODERATE</t>
  </si>
  <si>
    <t>Work distribution</t>
  </si>
  <si>
    <t>Learning basic features of MIT</t>
  </si>
  <si>
    <t>Wed 25-Aug-21</t>
  </si>
  <si>
    <t xml:space="preserve">Fitness Calculator </t>
  </si>
  <si>
    <t>1 Month Plan for all Categories</t>
  </si>
  <si>
    <t>Home workout for all Categories</t>
  </si>
  <si>
    <t>Diet for all Categories</t>
  </si>
  <si>
    <t>Water Reminder</t>
  </si>
  <si>
    <t>Footsteps Calculator</t>
  </si>
  <si>
    <t>Meditation</t>
  </si>
  <si>
    <t>Sat 18-Sep-21</t>
  </si>
  <si>
    <t>Fri 24-Sep-21</t>
  </si>
  <si>
    <t>Sat 25-Sep-21</t>
  </si>
  <si>
    <t>Creating Gantt Chart</t>
  </si>
  <si>
    <t>Fri 27-Aug-21</t>
  </si>
  <si>
    <t>Sat 28-Aug-21</t>
  </si>
  <si>
    <t>Fri 3-Sep-21</t>
  </si>
  <si>
    <t>Sat 4-Sep-21</t>
  </si>
  <si>
    <t>Project Leader: Srushti Sawant</t>
  </si>
  <si>
    <t>Gym Workout for all Categories</t>
  </si>
  <si>
    <t>Creating App Logo</t>
  </si>
  <si>
    <t>Creating App Outline , Collecting Information</t>
  </si>
  <si>
    <t xml:space="preserve">         W34</t>
  </si>
  <si>
    <t>Wed 1-Sep-21</t>
  </si>
  <si>
    <t>Sat  4-Sep-21</t>
  </si>
  <si>
    <t>Wed 22-Sep-21</t>
  </si>
  <si>
    <t>Wed 29-Sep-21</t>
  </si>
  <si>
    <t>Wed 6-Oct-21</t>
  </si>
  <si>
    <t>Fri 8-Oct-21</t>
  </si>
  <si>
    <t>Sat 9-Oct-21</t>
  </si>
  <si>
    <t>Immune system Do's and Don'ts</t>
  </si>
  <si>
    <t>Fri 29-Oct-21</t>
  </si>
  <si>
    <t>1st review</t>
  </si>
  <si>
    <t>Preparing for the 1st review</t>
  </si>
  <si>
    <t>Literature survey</t>
  </si>
  <si>
    <t>2 days</t>
  </si>
  <si>
    <t>3 days</t>
  </si>
  <si>
    <t>1 day</t>
  </si>
  <si>
    <t>4 days</t>
  </si>
  <si>
    <t>5 days</t>
  </si>
  <si>
    <t>7 days</t>
  </si>
  <si>
    <r>
      <t xml:space="preserve"> </t>
    </r>
    <r>
      <rPr>
        <b/>
        <i/>
        <sz val="12"/>
        <color rgb="FF000000"/>
        <rFont val="Calibri"/>
        <family val="2"/>
        <scheme val="minor"/>
      </rPr>
      <t>TOTAL : 51 days</t>
    </r>
  </si>
  <si>
    <t>Tue 14-Sep-21</t>
  </si>
  <si>
    <t>Sun 19-Sep-21</t>
  </si>
  <si>
    <t>Thu 30-Sep-21</t>
  </si>
  <si>
    <t>Sun 3-Oct-21</t>
  </si>
  <si>
    <t>Thu 14-Oct-21</t>
  </si>
  <si>
    <t>Tue 19-Oct-21</t>
  </si>
  <si>
    <t>Medication Reminder</t>
  </si>
  <si>
    <t>Thu 28-Oct-21</t>
  </si>
  <si>
    <t>Managing project on JIRA software</t>
  </si>
  <si>
    <t xml:space="preserve">Creating pdf of project </t>
  </si>
  <si>
    <t>Creating PPT of project</t>
  </si>
  <si>
    <t>Sun 24-Oct-21</t>
  </si>
  <si>
    <t>Final report of the project</t>
  </si>
  <si>
    <t>20 days</t>
  </si>
  <si>
    <t>21 days</t>
  </si>
  <si>
    <r>
      <t xml:space="preserve"> </t>
    </r>
    <r>
      <rPr>
        <b/>
        <i/>
        <sz val="12"/>
        <color rgb="FF000000"/>
        <rFont val="Calibri"/>
        <family val="2"/>
        <scheme val="minor"/>
      </rPr>
      <t>TOTAL : 56 days</t>
    </r>
  </si>
  <si>
    <t>W35</t>
  </si>
  <si>
    <t>W36</t>
  </si>
  <si>
    <t>W37</t>
  </si>
  <si>
    <t>W38</t>
  </si>
  <si>
    <t>W39</t>
  </si>
  <si>
    <t>W40</t>
  </si>
  <si>
    <t>W42</t>
  </si>
  <si>
    <t>W41</t>
  </si>
  <si>
    <t>Fri 15- Oct-21</t>
  </si>
  <si>
    <t>Fri 15-Oct-21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</si>
</sst>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ddd\ dd\-mmm\-yy"/>
    <numFmt numFmtId="166" formatCode="[$$-409]#,##0.00"/>
  </numFmts>
  <fonts count="53"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9"/>
      <color rgb="FF000000"/>
      <name val="Calibri"/>
      <family val="2"/>
      <scheme val="minor"/>
    </font>
    <font>
      <sz val="10"/>
      <color rgb="FF808080"/>
      <name val="Calibri"/>
      <family val="2"/>
      <scheme val="minor"/>
    </font>
    <font>
      <sz val="11"/>
      <color rgb="FF4472C4"/>
      <name val="Calibri"/>
      <family val="2"/>
      <scheme val="minor"/>
    </font>
    <font>
      <sz val="10"/>
      <color rgb="FFA8E7FE"/>
      <name val="Wingdings 3"/>
      <family val="1"/>
      <charset val="2"/>
    </font>
    <font>
      <b/>
      <sz val="10"/>
      <color rgb="FF808080"/>
      <name val="Calibri"/>
      <family val="2"/>
      <scheme val="minor"/>
    </font>
    <font>
      <b/>
      <sz val="11"/>
      <color theme="1"/>
      <name val="Calibri"/>
      <family val="2"/>
      <scheme val="minor"/>
    </font>
    <font>
      <b/>
      <sz val="10"/>
      <color rgb="FF000000"/>
      <name val="Calibri"/>
      <family val="2"/>
      <scheme val="minor"/>
    </font>
    <font>
      <b/>
      <sz val="8"/>
      <color rgb="FF000000"/>
      <name val="Arial"/>
      <family val="2"/>
    </font>
    <font>
      <b/>
      <sz val="8"/>
      <color theme="1"/>
      <name val="Arial"/>
      <family val="2"/>
    </font>
    <font>
      <i/>
      <sz val="12"/>
      <color rgb="FF000000"/>
      <name val="Calibri"/>
      <family val="2"/>
      <scheme val="minor"/>
    </font>
    <font>
      <b/>
      <i/>
      <sz val="12"/>
      <color rgb="FF000000"/>
      <name val="Calibri"/>
      <family val="2"/>
      <scheme val="minor"/>
    </font>
    <font>
      <b/>
      <i/>
      <sz val="12"/>
      <color theme="1"/>
      <name val="Calibri"/>
      <family val="2"/>
      <scheme val="minor"/>
    </font>
    <font>
      <sz val="12"/>
      <color rgb="FF000000"/>
      <name val="Calibri"/>
      <family val="2"/>
      <scheme val="minor"/>
    </font>
    <font>
      <b/>
      <sz val="12"/>
      <color rgb="FF000000"/>
      <name val="Calibri"/>
      <family val="2"/>
      <scheme val="minor"/>
    </font>
    <font>
      <b/>
      <i/>
      <sz val="12"/>
      <name val="Calibri"/>
      <family val="2"/>
      <scheme val="minor"/>
    </font>
    <font>
      <b/>
      <i/>
      <sz val="11"/>
      <color rgb="FF808080"/>
      <name val="Candara"/>
      <family val="2"/>
    </font>
    <font>
      <i/>
      <sz val="11"/>
      <color rgb="FF000000"/>
      <name val="Candara"/>
      <family val="2"/>
    </font>
    <font>
      <b/>
      <sz val="16"/>
      <color rgb="FFFFFFFF"/>
      <name val="Artifakt Element Heavy"/>
      <family val="2"/>
    </font>
    <font>
      <sz val="10"/>
      <color rgb="FF000000"/>
      <name val="Artifakt Element Heavy"/>
      <family val="2"/>
    </font>
    <font>
      <b/>
      <sz val="11"/>
      <color theme="1"/>
      <name val="Arial"/>
      <family val="2"/>
    </font>
    <font>
      <b/>
      <sz val="11"/>
      <color rgb="FF000000"/>
      <name val="Arial"/>
      <family val="2"/>
    </font>
  </fonts>
  <fills count="59">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FFFF00"/>
        <bgColor indexed="64"/>
      </patternFill>
    </fill>
    <fill>
      <patternFill patternType="solid">
        <fgColor rgb="FF00E626"/>
        <bgColor indexed="64"/>
      </patternFill>
    </fill>
    <fill>
      <patternFill patternType="solid">
        <fgColor rgb="FF7030A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rgb="FF0070C0"/>
        <bgColor indexed="64"/>
      </patternFill>
    </fill>
    <fill>
      <patternFill patternType="solid">
        <fgColor rgb="FFFF5050"/>
        <bgColor indexed="64"/>
      </patternFill>
    </fill>
  </fills>
  <borders count="16">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FF0000"/>
      </bottom>
      <diagonal/>
    </border>
    <border>
      <left/>
      <right/>
      <top style="thin">
        <color rgb="FFFF0000"/>
      </top>
      <bottom style="thin">
        <color rgb="FFFF0000"/>
      </bottom>
      <diagonal/>
    </border>
    <border>
      <left style="thin">
        <color rgb="FFCCFFFF"/>
      </left>
      <right style="thin">
        <color rgb="FFCCFFFF"/>
      </right>
      <top/>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271">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0"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7" fillId="50" borderId="0" xfId="0" applyFont="1" applyFill="1"/>
    <xf numFmtId="0" fontId="24"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1" fillId="0" borderId="0" xfId="0" applyFont="1" applyAlignment="1">
      <alignment horizontal="center" vertical="center"/>
    </xf>
    <xf numFmtId="9" fontId="31" fillId="0" borderId="0" xfId="0" applyNumberFormat="1" applyFont="1" applyAlignment="1">
      <alignment horizontal="center" vertical="center"/>
    </xf>
    <xf numFmtId="0" fontId="31" fillId="0" borderId="0" xfId="0" applyFont="1" applyAlignment="1">
      <alignment horizontal="left" vertical="center"/>
    </xf>
    <xf numFmtId="0" fontId="31" fillId="0" borderId="0" xfId="0" applyFont="1" applyAlignment="1">
      <alignment horizontal="right" vertical="center"/>
    </xf>
    <xf numFmtId="0" fontId="32" fillId="0" borderId="0" xfId="0" applyFont="1" applyAlignment="1">
      <alignment horizontal="center" vertical="center"/>
    </xf>
    <xf numFmtId="0" fontId="31" fillId="0" borderId="0" xfId="0" applyNumberFormat="1" applyFont="1" applyAlignment="1">
      <alignment horizontal="center" vertical="center"/>
    </xf>
    <xf numFmtId="0" fontId="31" fillId="48" borderId="0" xfId="0" applyFont="1" applyFill="1" applyAlignment="1">
      <alignment horizontal="center" vertical="center"/>
    </xf>
    <xf numFmtId="0" fontId="31" fillId="48" borderId="0" xfId="0" applyFont="1" applyFill="1" applyAlignment="1">
      <alignment horizontal="left" vertical="center"/>
    </xf>
    <xf numFmtId="0" fontId="32" fillId="48" borderId="0" xfId="0" applyFont="1" applyFill="1" applyAlignment="1">
      <alignment horizontal="center" vertical="center"/>
    </xf>
    <xf numFmtId="0" fontId="31" fillId="48" borderId="0" xfId="0" applyFont="1" applyFill="1" applyAlignment="1">
      <alignment horizontal="right" vertical="center"/>
    </xf>
    <xf numFmtId="9" fontId="31" fillId="48" borderId="0" xfId="0" applyNumberFormat="1" applyFont="1" applyFill="1" applyAlignment="1">
      <alignment horizontal="center" vertical="center"/>
    </xf>
    <xf numFmtId="0" fontId="31" fillId="48" borderId="0" xfId="0" applyNumberFormat="1" applyFont="1" applyFill="1" applyAlignment="1">
      <alignment horizontal="center" vertical="center"/>
    </xf>
    <xf numFmtId="0" fontId="34" fillId="48" borderId="0" xfId="0" applyFont="1" applyFill="1"/>
    <xf numFmtId="0" fontId="0" fillId="0" borderId="5" xfId="0" applyBorder="1"/>
    <xf numFmtId="0" fontId="31" fillId="28" borderId="6" xfId="0" applyFont="1" applyFill="1" applyBorder="1" applyAlignment="1">
      <alignment horizontal="center" vertical="center"/>
    </xf>
    <xf numFmtId="165" fontId="31" fillId="0" borderId="0" xfId="0" applyNumberFormat="1" applyFont="1" applyAlignment="1">
      <alignment horizontal="right" vertical="center"/>
    </xf>
    <xf numFmtId="0" fontId="30" fillId="0" borderId="0" xfId="0" applyFont="1"/>
    <xf numFmtId="0" fontId="31" fillId="0" borderId="10" xfId="0" applyFont="1" applyBorder="1" applyAlignment="1">
      <alignment horizontal="center" vertical="center"/>
    </xf>
    <xf numFmtId="0" fontId="36" fillId="0" borderId="10" xfId="0" applyFont="1" applyBorder="1" applyAlignment="1">
      <alignment horizontal="left" vertical="center"/>
    </xf>
    <xf numFmtId="0" fontId="31" fillId="0" borderId="10" xfId="0" applyFont="1" applyBorder="1" applyAlignment="1">
      <alignment horizontal="left" vertical="center"/>
    </xf>
    <xf numFmtId="0" fontId="32" fillId="0" borderId="10" xfId="0" applyFont="1" applyBorder="1" applyAlignment="1">
      <alignment horizontal="center" vertical="center"/>
    </xf>
    <xf numFmtId="0" fontId="31" fillId="0" borderId="10" xfId="0" applyFont="1" applyBorder="1" applyAlignment="1">
      <alignment horizontal="right" vertical="center"/>
    </xf>
    <xf numFmtId="9" fontId="31" fillId="0" borderId="10" xfId="0" applyNumberFormat="1" applyFont="1" applyBorder="1" applyAlignment="1">
      <alignment horizontal="center" vertical="center"/>
    </xf>
    <xf numFmtId="0" fontId="31" fillId="0" borderId="10" xfId="0" applyNumberFormat="1" applyFont="1" applyBorder="1" applyAlignment="1">
      <alignment horizontal="center" vertical="center"/>
    </xf>
    <xf numFmtId="0" fontId="31" fillId="0" borderId="11" xfId="0" applyFont="1" applyBorder="1" applyAlignment="1">
      <alignment horizontal="center" vertical="center"/>
    </xf>
    <xf numFmtId="0" fontId="31" fillId="35" borderId="6" xfId="0" applyFont="1" applyFill="1" applyBorder="1" applyAlignment="1">
      <alignment horizontal="left" vertical="center"/>
    </xf>
    <xf numFmtId="0" fontId="35" fillId="0" borderId="6" xfId="0" applyFont="1" applyBorder="1" applyAlignment="1">
      <alignment horizontal="center" vertical="center"/>
    </xf>
    <xf numFmtId="0" fontId="31" fillId="0" borderId="6" xfId="0" applyFont="1" applyBorder="1" applyAlignment="1">
      <alignment horizontal="left" vertical="center"/>
    </xf>
    <xf numFmtId="166" fontId="31" fillId="0" borderId="6" xfId="0" applyNumberFormat="1" applyFont="1" applyBorder="1" applyAlignment="1">
      <alignment horizontal="right" vertical="center"/>
    </xf>
    <xf numFmtId="165" fontId="31" fillId="0" borderId="6" xfId="0" applyNumberFormat="1" applyFont="1" applyBorder="1" applyAlignment="1">
      <alignment horizontal="right" vertical="center"/>
    </xf>
    <xf numFmtId="0" fontId="31" fillId="0" borderId="6" xfId="0" applyFont="1" applyBorder="1" applyAlignment="1">
      <alignment horizontal="right" vertical="center"/>
    </xf>
    <xf numFmtId="0" fontId="31" fillId="0" borderId="6" xfId="0" applyNumberFormat="1" applyFont="1" applyBorder="1" applyAlignment="1">
      <alignment horizontal="left" vertical="center"/>
    </xf>
    <xf numFmtId="0" fontId="0" fillId="0" borderId="8" xfId="0" applyFill="1" applyBorder="1"/>
    <xf numFmtId="0" fontId="31" fillId="0" borderId="13" xfId="0" applyFont="1" applyBorder="1" applyAlignment="1">
      <alignment horizontal="center" vertical="center"/>
    </xf>
    <xf numFmtId="0" fontId="31" fillId="0" borderId="13" xfId="0" applyFont="1" applyBorder="1" applyAlignment="1">
      <alignment horizontal="right" vertical="center"/>
    </xf>
    <xf numFmtId="165" fontId="31" fillId="0" borderId="13" xfId="0" applyNumberFormat="1" applyFont="1" applyBorder="1" applyAlignment="1">
      <alignment horizontal="right" vertical="center"/>
    </xf>
    <xf numFmtId="0" fontId="31" fillId="0" borderId="13" xfId="0" applyNumberFormat="1" applyFont="1" applyBorder="1" applyAlignment="1">
      <alignment horizontal="center" vertical="center"/>
    </xf>
    <xf numFmtId="0" fontId="0" fillId="0" borderId="9" xfId="0" applyBorder="1"/>
    <xf numFmtId="0" fontId="31" fillId="4" borderId="7" xfId="0" applyFont="1" applyFill="1" applyBorder="1" applyAlignment="1">
      <alignment horizontal="left" vertical="center"/>
    </xf>
    <xf numFmtId="0" fontId="31" fillId="4" borderId="13" xfId="0" applyFont="1" applyFill="1" applyBorder="1" applyAlignment="1">
      <alignment horizontal="center" vertical="center"/>
    </xf>
    <xf numFmtId="0" fontId="31" fillId="4" borderId="0" xfId="0" applyFont="1" applyFill="1" applyAlignment="1">
      <alignment horizontal="center" vertical="center"/>
    </xf>
    <xf numFmtId="0" fontId="0" fillId="4" borderId="9" xfId="0" applyFill="1" applyBorder="1"/>
    <xf numFmtId="0" fontId="0" fillId="4" borderId="8" xfId="0" applyFill="1" applyBorder="1"/>
    <xf numFmtId="0" fontId="38" fillId="0" borderId="0" xfId="0" applyFont="1" applyAlignment="1">
      <alignment horizontal="center" vertical="center"/>
    </xf>
    <xf numFmtId="0" fontId="39" fillId="7" borderId="0" xfId="0" applyFont="1" applyFill="1" applyAlignment="1">
      <alignment horizontal="left" vertical="center"/>
    </xf>
    <xf numFmtId="0" fontId="37" fillId="7" borderId="0" xfId="0" applyFont="1" applyFill="1"/>
    <xf numFmtId="0" fontId="40" fillId="7" borderId="0" xfId="0" applyFont="1" applyFill="1"/>
    <xf numFmtId="0" fontId="41" fillId="28" borderId="6" xfId="0" applyFont="1" applyFill="1" applyBorder="1" applyAlignment="1">
      <alignment horizontal="center" vertical="center"/>
    </xf>
    <xf numFmtId="9" fontId="41" fillId="28" borderId="6" xfId="0" applyNumberFormat="1" applyFont="1" applyFill="1" applyBorder="1" applyAlignment="1">
      <alignment horizontal="center" vertical="center"/>
    </xf>
    <xf numFmtId="0" fontId="31" fillId="19" borderId="0" xfId="0" applyFont="1" applyFill="1" applyAlignment="1">
      <alignment horizontal="right" vertical="center"/>
    </xf>
    <xf numFmtId="0" fontId="0" fillId="53" borderId="9" xfId="0" applyFill="1" applyBorder="1"/>
    <xf numFmtId="0" fontId="0" fillId="53" borderId="0" xfId="0" applyFill="1"/>
    <xf numFmtId="0" fontId="42" fillId="0" borderId="6" xfId="0" applyFont="1" applyBorder="1" applyAlignment="1">
      <alignment horizontal="left" vertical="center"/>
    </xf>
    <xf numFmtId="0" fontId="42" fillId="0" borderId="9" xfId="0" applyFont="1" applyBorder="1" applyAlignment="1">
      <alignment horizontal="left" vertical="center"/>
    </xf>
    <xf numFmtId="0" fontId="43" fillId="52" borderId="9" xfId="0" applyFont="1" applyFill="1" applyBorder="1" applyAlignment="1">
      <alignment horizontal="center" vertical="center"/>
    </xf>
    <xf numFmtId="0" fontId="44" fillId="0" borderId="6" xfId="0" applyFont="1" applyBorder="1" applyAlignment="1">
      <alignment horizontal="center" vertical="center"/>
    </xf>
    <xf numFmtId="0" fontId="44" fillId="0" borderId="6" xfId="0" applyFont="1" applyBorder="1" applyAlignment="1">
      <alignment horizontal="left" vertical="center"/>
    </xf>
    <xf numFmtId="166" fontId="44" fillId="0" borderId="6" xfId="0" applyNumberFormat="1" applyFont="1" applyBorder="1" applyAlignment="1">
      <alignment horizontal="right" vertical="center"/>
    </xf>
    <xf numFmtId="165" fontId="44" fillId="0" borderId="6" xfId="0" applyNumberFormat="1" applyFont="1" applyBorder="1" applyAlignment="1">
      <alignment horizontal="right" vertical="center"/>
    </xf>
    <xf numFmtId="0" fontId="44" fillId="0" borderId="6" xfId="0" applyFont="1" applyBorder="1" applyAlignment="1">
      <alignment horizontal="right" vertical="center"/>
    </xf>
    <xf numFmtId="165" fontId="45" fillId="0" borderId="9" xfId="0" applyNumberFormat="1" applyFont="1" applyBorder="1" applyAlignment="1">
      <alignment horizontal="right" vertical="center"/>
    </xf>
    <xf numFmtId="0" fontId="45" fillId="0" borderId="9" xfId="0" applyFont="1" applyBorder="1" applyAlignment="1">
      <alignment horizontal="right" vertical="center"/>
    </xf>
    <xf numFmtId="0" fontId="44" fillId="0" borderId="9" xfId="0" applyFont="1" applyBorder="1" applyAlignment="1">
      <alignment horizontal="left" vertical="center"/>
    </xf>
    <xf numFmtId="0" fontId="45" fillId="0" borderId="9" xfId="0" applyFont="1" applyBorder="1" applyAlignment="1">
      <alignment horizontal="center" vertical="center"/>
    </xf>
    <xf numFmtId="9" fontId="45" fillId="0" borderId="9" xfId="0" applyNumberFormat="1" applyFont="1" applyBorder="1" applyAlignment="1">
      <alignment horizontal="center" vertical="center"/>
    </xf>
    <xf numFmtId="0" fontId="42" fillId="0" borderId="13" xfId="0" applyFont="1" applyBorder="1" applyAlignment="1">
      <alignment horizontal="left" vertical="center"/>
    </xf>
    <xf numFmtId="0" fontId="42" fillId="0" borderId="14" xfId="0" applyFont="1" applyBorder="1" applyAlignment="1">
      <alignment horizontal="left" vertical="center"/>
    </xf>
    <xf numFmtId="0" fontId="46" fillId="11" borderId="14" xfId="0" applyFont="1" applyFill="1" applyBorder="1" applyAlignment="1">
      <alignment horizontal="center" vertical="center"/>
    </xf>
    <xf numFmtId="0" fontId="44" fillId="0" borderId="13" xfId="0" applyFont="1" applyBorder="1" applyAlignment="1">
      <alignment horizontal="center" vertical="center"/>
    </xf>
    <xf numFmtId="0" fontId="44" fillId="0" borderId="13" xfId="0" applyFont="1" applyBorder="1" applyAlignment="1">
      <alignment horizontal="left" vertical="center"/>
    </xf>
    <xf numFmtId="0" fontId="44" fillId="0" borderId="13" xfId="0" applyFont="1" applyBorder="1" applyAlignment="1">
      <alignment horizontal="right" vertical="center"/>
    </xf>
    <xf numFmtId="165" fontId="44" fillId="0" borderId="13" xfId="0" applyNumberFormat="1" applyFont="1" applyBorder="1" applyAlignment="1">
      <alignment horizontal="right" vertical="center"/>
    </xf>
    <xf numFmtId="165" fontId="45" fillId="0" borderId="14" xfId="0" applyNumberFormat="1" applyFont="1" applyBorder="1" applyAlignment="1">
      <alignment horizontal="right" vertical="center"/>
    </xf>
    <xf numFmtId="0" fontId="45" fillId="0" borderId="14" xfId="0" applyFont="1" applyBorder="1" applyAlignment="1">
      <alignment horizontal="right" vertical="center"/>
    </xf>
    <xf numFmtId="0" fontId="44" fillId="0" borderId="14" xfId="0" applyFont="1" applyBorder="1" applyAlignment="1">
      <alignment horizontal="center" vertical="center"/>
    </xf>
    <xf numFmtId="0" fontId="45" fillId="0" borderId="14" xfId="0" applyFont="1" applyBorder="1" applyAlignment="1">
      <alignment horizontal="center" vertical="center"/>
    </xf>
    <xf numFmtId="9" fontId="45" fillId="0" borderId="14" xfId="0" applyNumberFormat="1" applyFont="1" applyBorder="1" applyAlignment="1">
      <alignment horizontal="center" vertical="center"/>
    </xf>
    <xf numFmtId="0" fontId="42" fillId="0" borderId="0" xfId="0" applyFont="1" applyAlignment="1">
      <alignment horizontal="left" vertical="center"/>
    </xf>
    <xf numFmtId="0" fontId="42" fillId="51" borderId="0" xfId="0" applyFont="1" applyFill="1" applyAlignment="1">
      <alignment horizontal="center" vertical="center"/>
    </xf>
    <xf numFmtId="0" fontId="44" fillId="0" borderId="0" xfId="0" applyFont="1" applyAlignment="1">
      <alignment horizontal="center" vertical="center"/>
    </xf>
    <xf numFmtId="0" fontId="44" fillId="0" borderId="0" xfId="0" applyFont="1" applyAlignment="1">
      <alignment horizontal="left" vertical="center"/>
    </xf>
    <xf numFmtId="0" fontId="44" fillId="0" borderId="0" xfId="0" applyFont="1" applyAlignment="1">
      <alignment horizontal="right" vertical="center"/>
    </xf>
    <xf numFmtId="165" fontId="44" fillId="0" borderId="0" xfId="0" applyNumberFormat="1" applyFont="1" applyAlignment="1">
      <alignment horizontal="right" vertical="center"/>
    </xf>
    <xf numFmtId="165" fontId="45" fillId="0" borderId="0" xfId="0" applyNumberFormat="1" applyFont="1" applyAlignment="1">
      <alignment horizontal="right" vertical="center"/>
    </xf>
    <xf numFmtId="0" fontId="45" fillId="0" borderId="0" xfId="0" applyFont="1" applyAlignment="1">
      <alignment horizontal="right" vertical="center"/>
    </xf>
    <xf numFmtId="0" fontId="45" fillId="0" borderId="0" xfId="0" applyFont="1" applyAlignment="1">
      <alignment horizontal="center" vertical="center"/>
    </xf>
    <xf numFmtId="9" fontId="45" fillId="0" borderId="0" xfId="0" applyNumberFormat="1" applyFont="1" applyAlignment="1">
      <alignment horizontal="center" vertical="center"/>
    </xf>
    <xf numFmtId="0" fontId="42" fillId="11" borderId="0" xfId="0" applyFont="1" applyFill="1" applyAlignment="1">
      <alignment horizontal="center" vertical="center"/>
    </xf>
    <xf numFmtId="0" fontId="45" fillId="4" borderId="0" xfId="0" applyFont="1" applyFill="1" applyAlignment="1">
      <alignment horizontal="right" vertical="center"/>
    </xf>
    <xf numFmtId="0" fontId="44" fillId="28" borderId="6" xfId="0" applyFont="1" applyFill="1" applyBorder="1" applyAlignment="1">
      <alignment horizontal="center" vertical="center"/>
    </xf>
    <xf numFmtId="0" fontId="44" fillId="28" borderId="6" xfId="0" applyNumberFormat="1" applyFont="1" applyFill="1" applyBorder="1" applyAlignment="1">
      <alignment horizontal="center" vertical="center"/>
    </xf>
    <xf numFmtId="0" fontId="44" fillId="28" borderId="7" xfId="0" applyFont="1" applyFill="1" applyBorder="1" applyAlignment="1">
      <alignment horizontal="center" vertical="center"/>
    </xf>
    <xf numFmtId="0" fontId="47" fillId="0" borderId="0" xfId="0" applyFont="1" applyAlignment="1">
      <alignment horizontal="left" vertical="center"/>
    </xf>
    <xf numFmtId="0" fontId="48" fillId="0" borderId="0" xfId="0" applyFont="1" applyAlignment="1">
      <alignment horizontal="left" vertical="center"/>
    </xf>
    <xf numFmtId="0" fontId="49" fillId="48" borderId="0" xfId="0" applyFont="1" applyFill="1" applyAlignment="1">
      <alignment horizontal="left" vertical="center"/>
    </xf>
    <xf numFmtId="0" fontId="50" fillId="48" borderId="0" xfId="0" applyFont="1" applyFill="1" applyAlignment="1">
      <alignment horizontal="left" vertical="center"/>
    </xf>
    <xf numFmtId="0" fontId="40" fillId="0" borderId="0" xfId="0" applyFont="1"/>
    <xf numFmtId="0" fontId="40" fillId="0" borderId="5" xfId="0" applyFont="1" applyBorder="1"/>
    <xf numFmtId="0" fontId="0" fillId="53" borderId="8" xfId="0" applyFill="1" applyBorder="1"/>
    <xf numFmtId="0" fontId="45" fillId="0" borderId="0" xfId="0" applyFont="1" applyAlignment="1">
      <alignment horizontal="left" vertical="center"/>
    </xf>
    <xf numFmtId="0" fontId="39" fillId="4" borderId="0" xfId="0" applyFont="1" applyFill="1" applyBorder="1" applyAlignment="1">
      <alignment horizontal="center" vertical="center"/>
    </xf>
    <xf numFmtId="0" fontId="39" fillId="4" borderId="8" xfId="0" applyFont="1" applyFill="1" applyBorder="1" applyAlignment="1">
      <alignment horizontal="center" vertical="center"/>
    </xf>
    <xf numFmtId="0" fontId="40" fillId="4" borderId="0" xfId="0" applyFont="1" applyFill="1" applyAlignment="1">
      <alignment horizontal="center" vertical="center"/>
    </xf>
    <xf numFmtId="0" fontId="40" fillId="4" borderId="0" xfId="0" applyFont="1" applyFill="1" applyAlignment="1">
      <alignment vertical="center"/>
    </xf>
    <xf numFmtId="0" fontId="40" fillId="4" borderId="5" xfId="0" applyFont="1" applyFill="1" applyBorder="1"/>
    <xf numFmtId="0" fontId="40" fillId="4" borderId="0" xfId="0" applyFont="1" applyFill="1"/>
    <xf numFmtId="0" fontId="51" fillId="11" borderId="0" xfId="0" applyFont="1" applyFill="1"/>
    <xf numFmtId="0" fontId="52" fillId="11" borderId="12" xfId="0" applyFont="1" applyFill="1" applyBorder="1" applyAlignment="1">
      <alignment horizontal="center" vertical="center"/>
    </xf>
    <xf numFmtId="0" fontId="52" fillId="54" borderId="12" xfId="0" applyFont="1" applyFill="1" applyBorder="1" applyAlignment="1">
      <alignment horizontal="center" vertical="center"/>
    </xf>
    <xf numFmtId="0" fontId="51" fillId="51" borderId="0" xfId="0" applyFont="1" applyFill="1"/>
    <xf numFmtId="0" fontId="52" fillId="51" borderId="12" xfId="0" applyFont="1" applyFill="1" applyBorder="1" applyAlignment="1">
      <alignment horizontal="center" vertical="center"/>
    </xf>
    <xf numFmtId="0" fontId="52" fillId="55" borderId="12" xfId="0" applyFont="1" applyFill="1" applyBorder="1" applyAlignment="1">
      <alignment horizontal="center" vertical="center"/>
    </xf>
    <xf numFmtId="0" fontId="51" fillId="55" borderId="0" xfId="0" applyFont="1" applyFill="1"/>
    <xf numFmtId="0" fontId="52" fillId="55" borderId="5" xfId="0" applyFont="1" applyFill="1" applyBorder="1" applyAlignment="1">
      <alignment horizontal="center" vertical="center"/>
    </xf>
    <xf numFmtId="0" fontId="52" fillId="56" borderId="5" xfId="0" applyFont="1" applyFill="1" applyBorder="1" applyAlignment="1">
      <alignment horizontal="center" vertical="center"/>
    </xf>
    <xf numFmtId="0" fontId="52" fillId="56" borderId="12" xfId="0" applyFont="1" applyFill="1" applyBorder="1" applyAlignment="1">
      <alignment horizontal="center" vertical="center"/>
    </xf>
    <xf numFmtId="0" fontId="52" fillId="2" borderId="12" xfId="0" applyFont="1" applyFill="1" applyBorder="1" applyAlignment="1">
      <alignment horizontal="center" vertical="center"/>
    </xf>
    <xf numFmtId="0" fontId="51" fillId="2" borderId="0" xfId="0" applyFont="1" applyFill="1"/>
    <xf numFmtId="0" fontId="52" fillId="57" borderId="5" xfId="0" applyFont="1" applyFill="1" applyBorder="1" applyAlignment="1">
      <alignment horizontal="center" vertical="center"/>
    </xf>
    <xf numFmtId="0" fontId="52" fillId="57" borderId="12" xfId="0" applyFont="1" applyFill="1" applyBorder="1" applyAlignment="1">
      <alignment horizontal="center" vertical="center"/>
    </xf>
    <xf numFmtId="0" fontId="51" fillId="57" borderId="0" xfId="0" applyFont="1" applyFill="1"/>
    <xf numFmtId="0" fontId="52" fillId="57" borderId="15" xfId="0" applyFont="1" applyFill="1" applyBorder="1" applyAlignment="1">
      <alignment horizontal="center" vertical="center"/>
    </xf>
    <xf numFmtId="0" fontId="51" fillId="10" borderId="0" xfId="0" applyFont="1" applyFill="1"/>
    <xf numFmtId="0" fontId="52" fillId="10" borderId="12" xfId="0" applyFont="1" applyFill="1" applyBorder="1" applyAlignment="1">
      <alignment horizontal="center" vertical="center"/>
    </xf>
    <xf numFmtId="0" fontId="52" fillId="58" borderId="15" xfId="0" applyFont="1" applyFill="1" applyBorder="1" applyAlignment="1">
      <alignment horizontal="center" vertical="center"/>
    </xf>
    <xf numFmtId="0" fontId="52" fillId="58" borderId="12" xfId="0" applyFont="1" applyFill="1" applyBorder="1" applyAlignment="1">
      <alignment horizontal="center" vertical="center"/>
    </xf>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8" fillId="0" borderId="0" xfId="0" applyNumberFormat="1" applyFont="1" applyAlignment="1">
      <alignment horizontal="center" vertical="top"/>
    </xf>
    <xf numFmtId="0" fontId="1" fillId="49" borderId="1" xfId="1" applyFill="1" applyAlignment="1">
      <alignment horizontal="left" vertical="center"/>
    </xf>
    <xf numFmtId="0" fontId="27" fillId="0" borderId="0" xfId="0" applyFont="1" applyFill="1" applyBorder="1" applyAlignment="1">
      <alignment horizontal="left" vertical="center"/>
    </xf>
    <xf numFmtId="0" fontId="27" fillId="50" borderId="2" xfId="0" applyFont="1" applyFill="1" applyBorder="1" applyAlignment="1">
      <alignment horizontal="left" vertical="center"/>
    </xf>
    <xf numFmtId="0" fontId="2" fillId="0" borderId="0" xfId="202"/>
    <xf numFmtId="0" fontId="0" fillId="0" borderId="0" xfId="0"/>
    <xf numFmtId="0" fontId="19" fillId="0" borderId="0" xfId="0" applyFont="1" applyFill="1" applyAlignment="1">
      <alignment horizontal="center" vertical="center"/>
    </xf>
    <xf numFmtId="0" fontId="20" fillId="0" borderId="0" xfId="0" applyFont="1" applyFill="1" applyAlignment="1">
      <alignment horizont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00000000-0005-0000-0000-0000C9000000}"/>
    <cellStyle name="Percent" xfId="200" builtinId="5"/>
  </cellStyles>
  <dxfs count="5">
    <dxf>
      <font>
        <color rgb="FF9C0006"/>
      </font>
    </dxf>
    <dxf>
      <numFmt numFmtId="167" formatCode="m/d/yyyy"/>
    </dxf>
    <dxf>
      <numFmt numFmtId="167"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00000000-0011-0000-FFFF-FFFF00000000}">
      <tableStyleElement type="wholeTable" dxfId="4"/>
      <tableStyleElement type="headerRow" dxfId="3"/>
    </tableStyle>
  </tableStyles>
  <colors>
    <mruColors>
      <color rgb="FFFF5050"/>
      <color rgb="FFA6F020"/>
      <color rgb="FF62EA16"/>
      <color rgb="FF00E626"/>
      <color rgb="FFDCF9A9"/>
      <color rgb="FFF0FFDD"/>
      <color rgb="FF4472C4"/>
      <color rgb="FFA7E8FF"/>
      <color rgb="FF6DD9FF"/>
      <color rgb="FFC1E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488E-2"/>
          <c:y val="0.168747777495555"/>
          <c:w val="0.80351473307215859"/>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1"/>
        </c:dLbls>
        <c:firstSliceAng val="0"/>
        <c:holeSize val="50"/>
      </c:doughnutChart>
    </c:plotArea>
    <c:plotVisOnly val="0"/>
    <c:dispBlanksAs val="zero"/>
    <c:showDLblsOverMax val="0"/>
  </c:chart>
  <c:spPr>
    <a:noFill/>
    <a:ln>
      <a:noFill/>
    </a:ln>
  </c:spPr>
  <c:printSettings>
    <c:headerFooter/>
    <c:pageMargins b="0.75000000000001665" l="0.70000000000000095" r="0.70000000000000095" t="0.750000000000016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 Chart_Excel.xlsm]PivotSheet!PT1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178" l="0.70000000000000062" r="0.70000000000000062" t="0.75000000000000178" header="0.30000000000000032" footer="0.3000000000000003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 Chart_Excel.xlsm]PivotSheet!PT2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178" l="0.70000000000000062" r="0.70000000000000062" t="0.75000000000000178" header="0.30000000000000032" footer="0.3000000000000003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 Chart_Excel.xlsm]PivotSheet!PT3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99413376"/>
        <c:axId val="99415168"/>
      </c:barChart>
      <c:catAx>
        <c:axId val="994133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15168"/>
        <c:crosses val="autoZero"/>
        <c:auto val="1"/>
        <c:lblAlgn val="ctr"/>
        <c:lblOffset val="100"/>
        <c:noMultiLvlLbl val="0"/>
      </c:catAx>
      <c:valAx>
        <c:axId val="99415168"/>
        <c:scaling>
          <c:orientation val="minMax"/>
        </c:scaling>
        <c:delete val="1"/>
        <c:axPos val="b"/>
        <c:numFmt formatCode="&quot;$&quot;\ #,##0" sourceLinked="1"/>
        <c:majorTickMark val="none"/>
        <c:minorTickMark val="none"/>
        <c:tickLblPos val="none"/>
        <c:crossAx val="99413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178" l="0.70000000000000062" r="0.70000000000000062" t="0.75000000000000178" header="0.30000000000000032" footer="0.3000000000000003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9" name="Rectangle 8"/>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11" name="Rectangle 10"/>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14" name="Rectangle 13"/>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15" name="Rectangle 14"/>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D9624A34-B4F8-46D2-9843-946049F2DF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55</xdr:col>
      <xdr:colOff>148168</xdr:colOff>
      <xdr:row>5</xdr:row>
      <xdr:rowOff>21168</xdr:rowOff>
    </xdr:from>
    <xdr:to>
      <xdr:col>64</xdr:col>
      <xdr:colOff>180976</xdr:colOff>
      <xdr:row>5</xdr:row>
      <xdr:rowOff>296333</xdr:rowOff>
    </xdr:to>
    <xdr:sp macro="" textlink="">
      <xdr:nvSpPr>
        <xdr:cNvPr id="6" name="S_Mo_23-08-2021">
          <a:extLst>
            <a:ext uri="{FF2B5EF4-FFF2-40B4-BE49-F238E27FC236}">
              <a16:creationId xmlns:a16="http://schemas.microsoft.com/office/drawing/2014/main" id="{C83631AD-6127-4BBA-8DB5-14C035B25829}"/>
            </a:ext>
          </a:extLst>
        </xdr:cNvPr>
        <xdr:cNvSpPr/>
      </xdr:nvSpPr>
      <xdr:spPr>
        <a:xfrm>
          <a:off x="9683751" y="21168"/>
          <a:ext cx="2160058" cy="275165"/>
        </a:xfrm>
        <a:prstGeom prst="round2Same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4472C4"/>
              </a:solidFill>
            </a:rPr>
            <a:t>August-21    </a:t>
          </a:r>
        </a:p>
      </xdr:txBody>
    </xdr:sp>
    <xdr:clientData/>
  </xdr:twoCellAnchor>
  <xdr:twoCellAnchor>
    <xdr:from>
      <xdr:col>61</xdr:col>
      <xdr:colOff>63500</xdr:colOff>
      <xdr:row>5</xdr:row>
      <xdr:rowOff>21169</xdr:rowOff>
    </xdr:from>
    <xdr:to>
      <xdr:col>90</xdr:col>
      <xdr:colOff>243415</xdr:colOff>
      <xdr:row>5</xdr:row>
      <xdr:rowOff>296335</xdr:rowOff>
    </xdr:to>
    <xdr:sp macro="" textlink="">
      <xdr:nvSpPr>
        <xdr:cNvPr id="7" name="S_Mo_01-09-2021">
          <a:extLst>
            <a:ext uri="{FF2B5EF4-FFF2-40B4-BE49-F238E27FC236}">
              <a16:creationId xmlns:a16="http://schemas.microsoft.com/office/drawing/2014/main" id="{5A46C79E-BF86-41DD-A0F4-FC4A6282DE8E}"/>
            </a:ext>
          </a:extLst>
        </xdr:cNvPr>
        <xdr:cNvSpPr/>
      </xdr:nvSpPr>
      <xdr:spPr>
        <a:xfrm>
          <a:off x="10996083" y="21169"/>
          <a:ext cx="7238999" cy="275166"/>
        </a:xfrm>
        <a:prstGeom prst="round2Same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4472C4"/>
              </a:solidFill>
            </a:rPr>
            <a:t>                                September-21                                                                      October-21                                              </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416.821233796298" createdVersion="7" refreshedVersion="7" minRefreshableVersion="3" recordCount="4" xr:uid="{00000000-000A-0000-FFFF-FFFF00000000}">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ashboardTable" displayName="DashboardTable" ref="A1:BG5" totalsRowShown="0">
  <autoFilter ref="A1:BG5" xr:uid="{00000000-0009-0000-0100-000002000000}"/>
  <tableColumns count="59">
    <tableColumn id="1" xr3:uid="{00000000-0010-0000-0000-000001000000}" name="ProjectID"/>
    <tableColumn id="2" xr3:uid="{00000000-0010-0000-0000-000002000000}" name="dType"/>
    <tableColumn id="3" xr3:uid="{00000000-0010-0000-0000-000003000000}" name="GEType"/>
    <tableColumn id="4" xr3:uid="{00000000-0010-0000-0000-000004000000}" name="TID"/>
    <tableColumn id="5" xr3:uid="{00000000-0010-0000-0000-000005000000}" name="Dependency"/>
    <tableColumn id="6" xr3:uid="{00000000-0010-0000-0000-000006000000}" name="Dependents"/>
    <tableColumn id="7" xr3:uid="{00000000-0010-0000-0000-000007000000}" name="StartConstrain"/>
    <tableColumn id="8" xr3:uid="{00000000-0010-0000-0000-000008000000}" name="EndConstrain"/>
    <tableColumn id="9" xr3:uid="{00000000-0010-0000-0000-000009000000}" name="TIL"/>
    <tableColumn id="10" xr3:uid="{00000000-0010-0000-0000-00000A000000}" name="SS"/>
    <tableColumn id="11" xr3:uid="{00000000-0010-0000-0000-00000B000000}" name="TaskIcon"/>
    <tableColumn id="12" xr3:uid="{00000000-0010-0000-0000-00000C000000}" name="WBS"/>
    <tableColumn id="13" xr3:uid="{00000000-0010-0000-0000-00000D000000}" name="Task"/>
    <tableColumn id="14" xr3:uid="{00000000-0010-0000-0000-00000E000000}" name="Priority"/>
    <tableColumn id="15" xr3:uid="{00000000-0010-0000-0000-00000F000000}" name="Status"/>
    <tableColumn id="16" xr3:uid="{00000000-0010-0000-0000-000010000000}" name="Resource"/>
    <tableColumn id="17" xr3:uid="{00000000-0010-0000-0000-000011000000}" name="ResourceCost"/>
    <tableColumn id="18" xr3:uid="{00000000-0010-0000-0000-000012000000}" name="BSD"/>
    <tableColumn id="19" xr3:uid="{00000000-0010-0000-0000-000013000000}" name="BED"/>
    <tableColumn id="20" xr3:uid="{00000000-0010-0000-0000-000014000000}" name="BD"/>
    <tableColumn id="21" xr3:uid="{00000000-0010-0000-0000-000015000000}" name="ESD" dataDxfId="2"/>
    <tableColumn id="22" xr3:uid="{00000000-0010-0000-0000-000016000000}" name="EED" dataDxfId="1"/>
    <tableColumn id="23" xr3:uid="{00000000-0010-0000-0000-000017000000}" name="ED"/>
    <tableColumn id="24" xr3:uid="{00000000-0010-0000-0000-000018000000}" name="Work"/>
    <tableColumn id="25" xr3:uid="{00000000-0010-0000-0000-000019000000}" name="Done"/>
    <tableColumn id="26" xr3:uid="{00000000-0010-0000-0000-00001A000000}" name="PercentageCompleted"/>
    <tableColumn id="27" xr3:uid="{00000000-0010-0000-0000-00001B000000}" name="ASD"/>
    <tableColumn id="28" xr3:uid="{00000000-0010-0000-0000-00001C000000}" name="AED"/>
    <tableColumn id="29" xr3:uid="{00000000-0010-0000-0000-00001D000000}" name="AD"/>
    <tableColumn id="30" xr3:uid="{00000000-0010-0000-0000-00001E000000}" name="BCS"/>
    <tableColumn id="31" xr3:uid="{00000000-0010-0000-0000-00001F000000}" name="ECS"/>
    <tableColumn id="32" xr3:uid="{00000000-0010-0000-0000-000020000000}" name="ACS"/>
    <tableColumn id="33" xr3:uid="{00000000-0010-0000-0000-000021000000}" name="Notes"/>
    <tableColumn id="34" xr3:uid="{00000000-0010-0000-0000-000022000000}" name="TColor"/>
    <tableColumn id="35" xr3:uid="{00000000-0010-0000-0000-000023000000}" name="TPColor"/>
    <tableColumn id="36" xr3:uid="{00000000-0010-0000-0000-000024000000}" name="BLColor"/>
    <tableColumn id="37" xr3:uid="{00000000-0010-0000-0000-000025000000}" name="ACColor"/>
    <tableColumn id="38" xr3:uid="{00000000-0010-0000-0000-000026000000}" name="Custom 1"/>
    <tableColumn id="39" xr3:uid="{00000000-0010-0000-0000-000027000000}" name="Custom 2"/>
    <tableColumn id="40" xr3:uid="{00000000-0010-0000-0000-000028000000}" name="Custom 3"/>
    <tableColumn id="41" xr3:uid="{00000000-0010-0000-0000-000029000000}" name="Custom 4"/>
    <tableColumn id="42" xr3:uid="{00000000-0010-0000-0000-00002A000000}" name="Custom 5"/>
    <tableColumn id="43" xr3:uid="{00000000-0010-0000-0000-00002B000000}" name="Custom 6"/>
    <tableColumn id="44" xr3:uid="{00000000-0010-0000-0000-00002C000000}" name="Custom 7"/>
    <tableColumn id="45" xr3:uid="{00000000-0010-0000-0000-00002D000000}" name="Custom 8"/>
    <tableColumn id="46" xr3:uid="{00000000-0010-0000-0000-00002E000000}" name="Custom 9"/>
    <tableColumn id="47" xr3:uid="{00000000-0010-0000-0000-00002F000000}" name="Custom 10"/>
    <tableColumn id="48" xr3:uid="{00000000-0010-0000-0000-000030000000}" name="Custom 11"/>
    <tableColumn id="49" xr3:uid="{00000000-0010-0000-0000-000031000000}" name="Custom 12"/>
    <tableColumn id="50" xr3:uid="{00000000-0010-0000-0000-000032000000}" name="Custom 13"/>
    <tableColumn id="51" xr3:uid="{00000000-0010-0000-0000-000033000000}" name="Custom 14"/>
    <tableColumn id="52" xr3:uid="{00000000-0010-0000-0000-000034000000}" name="Custom 15"/>
    <tableColumn id="53" xr3:uid="{00000000-0010-0000-0000-000035000000}" name="Custom 16"/>
    <tableColumn id="54" xr3:uid="{00000000-0010-0000-0000-000036000000}" name="Custom 17"/>
    <tableColumn id="55" xr3:uid="{00000000-0010-0000-0000-000037000000}" name="Custom 18"/>
    <tableColumn id="56" xr3:uid="{00000000-0010-0000-0000-000038000000}" name="Custom 19"/>
    <tableColumn id="57" xr3:uid="{00000000-0010-0000-0000-000039000000}" name="Custom 20"/>
    <tableColumn id="58" xr3:uid="{00000000-0010-0000-0000-00003A000000}" name="LC"/>
    <tableColumn id="59" xr3:uid="{00000000-0010-0000-0000-00003B000000}"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023659094864013771059744140" TargetMode="External"/><Relationship Id="rId2" Type="http://schemas.openxmlformats.org/officeDocument/2006/relationships/hyperlink" Target="https://www.ganttexcel.com/documentation/?utm_source=xlc&amp;utm_medium=9023659094864013771059744140" TargetMode="External"/><Relationship Id="rId1" Type="http://schemas.openxmlformats.org/officeDocument/2006/relationships/hyperlink" Target="https://www.ganttexcel.com/documentation/enable-macros/?utm_source=xlc&amp;utm_medium=9023659094864013771059744140" TargetMode="External"/><Relationship Id="rId5" Type="http://schemas.openxmlformats.org/officeDocument/2006/relationships/drawing" Target="../drawings/drawing6.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D"/>
  <dimension ref="A1:BG5"/>
  <sheetViews>
    <sheetView workbookViewId="0">
      <selection activeCell="B33" sqref="B33"/>
    </sheetView>
  </sheetViews>
  <sheetFormatPr defaultRowHeight="15" x14ac:dyDescent="0.25"/>
  <cols>
    <col min="1" max="4" width="12.85546875" customWidth="1"/>
    <col min="5" max="5" width="15" customWidth="1"/>
    <col min="6" max="6" width="14.7109375" customWidth="1"/>
    <col min="7" max="7" width="16.42578125" customWidth="1"/>
    <col min="8" max="8" width="15.5703125" customWidth="1"/>
    <col min="9" max="16" width="12.85546875" customWidth="1"/>
    <col min="17" max="17" width="15.140625" customWidth="1"/>
    <col min="18" max="23" width="12.85546875" customWidth="1"/>
    <col min="24" max="24" width="13" customWidth="1"/>
    <col min="25" max="26" width="23" customWidth="1"/>
    <col min="27" max="57" width="12.85546875" customWidth="1"/>
    <col min="58" max="61" width="11" customWidth="1"/>
  </cols>
  <sheetData>
    <row r="1" spans="1:59" x14ac:dyDescent="0.25">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x14ac:dyDescent="0.25">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x14ac:dyDescent="0.25">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x14ac:dyDescent="0.25">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x14ac:dyDescent="0.25">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ST"/>
  <dimension ref="A1:LW10"/>
  <sheetViews>
    <sheetView workbookViewId="0">
      <selection activeCell="G26" sqref="G26"/>
    </sheetView>
  </sheetViews>
  <sheetFormatPr defaultColWidth="9.140625" defaultRowHeight="15" x14ac:dyDescent="0.25"/>
  <cols>
    <col min="1" max="1" width="9.140625" style="52"/>
    <col min="2" max="2" width="9.140625" style="63"/>
    <col min="3" max="11" width="9.140625" style="52"/>
    <col min="12" max="12" width="14.85546875" style="87" customWidth="1"/>
    <col min="13" max="13" width="14.85546875" style="88" customWidth="1"/>
    <col min="14" max="14" width="12.85546875" style="52" customWidth="1"/>
    <col min="15" max="19" width="9.140625" style="52"/>
    <col min="20" max="20" width="12.7109375" style="52" customWidth="1"/>
    <col min="21" max="27" width="9.140625" style="52"/>
    <col min="28" max="28" width="19.7109375" style="52" customWidth="1"/>
    <col min="29" max="45" width="9.140625" style="52"/>
    <col min="46" max="46" width="9.140625" style="88"/>
    <col min="47" max="64" width="9.140625" style="52"/>
    <col min="65" max="65" width="9.140625" style="57"/>
    <col min="66" max="71" width="9.140625" style="60"/>
    <col min="72" max="102" width="9.140625" style="52"/>
    <col min="103" max="103" width="9.140625" style="62"/>
    <col min="104" max="313" width="9.140625" style="52"/>
    <col min="314" max="325" width="9.140625" style="62"/>
    <col min="326" max="16384" width="9.140625" style="52"/>
  </cols>
  <sheetData>
    <row r="1" spans="1:335" x14ac:dyDescent="0.25">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x14ac:dyDescent="0.25">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44434</v>
      </c>
      <c r="LO2" s="48">
        <v>1</v>
      </c>
      <c r="LP2" s="12" t="s">
        <v>245</v>
      </c>
      <c r="LQ2" s="49" t="s">
        <v>283</v>
      </c>
      <c r="LR2" s="49" t="s">
        <v>284</v>
      </c>
      <c r="LS2" s="49" t="s">
        <v>246</v>
      </c>
      <c r="LT2" s="12" t="s">
        <v>247</v>
      </c>
      <c r="LU2" s="12"/>
      <c r="LV2" s="50">
        <v>44434</v>
      </c>
    </row>
    <row r="3" spans="1:335" x14ac:dyDescent="0.25">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x14ac:dyDescent="0.25">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x14ac:dyDescent="0.25">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x14ac:dyDescent="0.25">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x14ac:dyDescent="0.25">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x14ac:dyDescent="0.25">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x14ac:dyDescent="0.25">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x14ac:dyDescent="0.25">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DT"/>
  <dimension ref="A1:BA62"/>
  <sheetViews>
    <sheetView showGridLines="0" showRowColHeaders="0" zoomScaleNormal="100" workbookViewId="0">
      <selection activeCell="N1" sqref="N1:XFD1048576"/>
    </sheetView>
  </sheetViews>
  <sheetFormatPr defaultColWidth="0" defaultRowHeight="15" x14ac:dyDescent="0.25"/>
  <cols>
    <col min="1" max="1" width="1" style="98" customWidth="1"/>
    <col min="2" max="6" width="15.7109375" customWidth="1"/>
    <col min="7" max="7" width="15.7109375" style="98" customWidth="1"/>
    <col min="8" max="13" width="15.7109375" customWidth="1"/>
    <col min="14" max="15" width="15.7109375" hidden="1" customWidth="1"/>
    <col min="16" max="16" width="6.140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85546875" hidden="1" customWidth="1"/>
    <col min="23" max="23" width="10.140625" hidden="1" customWidth="1"/>
    <col min="24" max="24" width="9.7109375" hidden="1" customWidth="1"/>
    <col min="25" max="25" width="10.140625" hidden="1" customWidth="1"/>
    <col min="26" max="26" width="6" hidden="1" customWidth="1"/>
    <col min="27" max="27" width="10.42578125" hidden="1" customWidth="1"/>
    <col min="28" max="28" width="9.7109375" hidden="1" customWidth="1"/>
    <col min="29" max="30" width="6.140625" hidden="1" customWidth="1"/>
    <col min="31" max="16384" width="6" hidden="1"/>
  </cols>
  <sheetData>
    <row r="1" spans="1:53" s="2" customFormat="1" ht="11.25" customHeight="1" x14ac:dyDescent="0.25">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20.25" thickBot="1" x14ac:dyDescent="0.35">
      <c r="A2" s="108"/>
      <c r="B2" s="264"/>
      <c r="C2" s="264"/>
      <c r="D2" s="264"/>
      <c r="E2" s="264"/>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x14ac:dyDescent="0.25">
      <c r="A3" s="124"/>
      <c r="B3" s="266" t="s">
        <v>11</v>
      </c>
      <c r="C3" s="266"/>
      <c r="D3" s="266"/>
      <c r="E3" s="266"/>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x14ac:dyDescent="0.25">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x14ac:dyDescent="0.25">
      <c r="A5" s="98"/>
      <c r="B5"/>
      <c r="C5"/>
      <c r="D5" s="103" t="s">
        <v>9</v>
      </c>
      <c r="E5" s="102" t="str">
        <f>IF(S2 = "","",S2)</f>
        <v/>
      </c>
      <c r="F5" s="6"/>
      <c r="G5" s="98"/>
      <c r="H5"/>
    </row>
    <row r="6" spans="1:53" s="2" customFormat="1" ht="15" customHeight="1" x14ac:dyDescent="0.25">
      <c r="A6" s="98"/>
      <c r="B6"/>
      <c r="C6"/>
      <c r="D6" s="103" t="s">
        <v>7</v>
      </c>
      <c r="E6" s="104">
        <f>AA2</f>
        <v>44398</v>
      </c>
      <c r="F6" s="5"/>
      <c r="G6" s="98"/>
      <c r="H6"/>
      <c r="J6" s="13"/>
      <c r="K6" s="13"/>
      <c r="L6" s="13"/>
      <c r="M6" s="13"/>
      <c r="N6" s="13"/>
      <c r="O6" s="13"/>
    </row>
    <row r="7" spans="1:53" s="2" customFormat="1" ht="15" customHeight="1" x14ac:dyDescent="0.25">
      <c r="A7" s="98"/>
      <c r="B7"/>
      <c r="C7"/>
      <c r="D7" s="103" t="s">
        <v>5</v>
      </c>
      <c r="E7" s="104">
        <f>AB2</f>
        <v>44411</v>
      </c>
      <c r="F7" s="5"/>
      <c r="G7" s="98"/>
      <c r="H7"/>
      <c r="J7" s="13"/>
      <c r="K7" s="13"/>
      <c r="L7" s="13"/>
      <c r="M7" s="13"/>
      <c r="N7" s="13"/>
      <c r="O7" s="13"/>
    </row>
    <row r="8" spans="1:53" s="2" customFormat="1" ht="15" customHeight="1" x14ac:dyDescent="0.25">
      <c r="A8" s="98"/>
      <c r="B8"/>
      <c r="C8"/>
      <c r="D8" s="115"/>
      <c r="E8" s="116"/>
      <c r="F8" s="4"/>
      <c r="G8" s="98"/>
      <c r="H8"/>
      <c r="J8" s="13"/>
      <c r="K8" s="13"/>
      <c r="L8" s="13"/>
      <c r="M8" s="13"/>
      <c r="N8" s="13"/>
      <c r="O8" s="13"/>
    </row>
    <row r="9" spans="1:53" s="2" customFormat="1" ht="15" customHeight="1" x14ac:dyDescent="0.25">
      <c r="A9" s="98"/>
      <c r="B9" s="261"/>
      <c r="C9" s="262"/>
      <c r="D9" s="101" t="s">
        <v>3</v>
      </c>
      <c r="E9" s="105">
        <f>AC2</f>
        <v>5</v>
      </c>
      <c r="F9" s="4"/>
      <c r="G9" s="98"/>
      <c r="H9"/>
    </row>
    <row r="10" spans="1:53" s="2" customFormat="1" ht="15" customHeight="1" x14ac:dyDescent="0.25">
      <c r="A10" s="98"/>
      <c r="B10"/>
      <c r="C10"/>
      <c r="D10" s="103" t="s">
        <v>56</v>
      </c>
      <c r="E10" s="105">
        <f>AD2</f>
        <v>0</v>
      </c>
      <c r="F10" s="4"/>
      <c r="G10" s="98"/>
      <c r="H10"/>
    </row>
    <row r="11" spans="1:53" s="2" customFormat="1" ht="15" customHeight="1" x14ac:dyDescent="0.25">
      <c r="A11" s="98"/>
      <c r="B11"/>
      <c r="C11"/>
      <c r="D11" s="103" t="s">
        <v>57</v>
      </c>
      <c r="E11" s="105">
        <f>AE2</f>
        <v>0</v>
      </c>
      <c r="F11" s="4"/>
      <c r="G11" s="98"/>
      <c r="H11"/>
    </row>
    <row r="12" spans="1:53" s="2" customFormat="1" ht="15" customHeight="1" x14ac:dyDescent="0.25">
      <c r="A12" s="98"/>
      <c r="B12"/>
      <c r="C12"/>
      <c r="D12" s="103" t="s">
        <v>58</v>
      </c>
      <c r="E12" s="105">
        <f>AF2</f>
        <v>5</v>
      </c>
      <c r="F12" s="3"/>
      <c r="G12" s="98"/>
      <c r="H12"/>
    </row>
    <row r="13" spans="1:53" s="2" customFormat="1" ht="15" customHeight="1" x14ac:dyDescent="0.25">
      <c r="A13" s="98"/>
      <c r="B13" s="97"/>
      <c r="C13" s="97"/>
      <c r="D13" s="103" t="s">
        <v>59</v>
      </c>
      <c r="E13" s="106">
        <f>AG2</f>
        <v>0</v>
      </c>
      <c r="F13" s="3"/>
      <c r="G13" s="98"/>
      <c r="H13" s="97"/>
    </row>
    <row r="14" spans="1:53" s="2" customFormat="1" ht="15" customHeight="1" x14ac:dyDescent="0.25">
      <c r="A14" s="98"/>
      <c r="B14" s="97"/>
      <c r="C14" s="97"/>
      <c r="D14" s="100"/>
      <c r="E14" s="99"/>
      <c r="F14" s="3"/>
      <c r="G14" s="98"/>
      <c r="H14" s="97"/>
    </row>
    <row r="15" spans="1:53" s="2" customFormat="1" ht="15.75" x14ac:dyDescent="0.25">
      <c r="A15" s="98"/>
      <c r="B15" s="265"/>
      <c r="C15" s="265"/>
      <c r="D15" s="265"/>
      <c r="E15" s="265"/>
      <c r="F15" s="113"/>
      <c r="G15" s="98"/>
      <c r="H15"/>
    </row>
    <row r="16" spans="1:53" s="7" customFormat="1" ht="15" customHeight="1" x14ac:dyDescent="0.25">
      <c r="A16" s="98"/>
      <c r="B16" s="1"/>
      <c r="C16" s="1"/>
      <c r="D16" s="125"/>
      <c r="E16" s="125"/>
      <c r="F16" s="1"/>
      <c r="G16" s="98"/>
      <c r="H16" s="1"/>
    </row>
    <row r="17" spans="1:8" s="2" customFormat="1" x14ac:dyDescent="0.25">
      <c r="A17" s="98"/>
      <c r="B17"/>
      <c r="C17"/>
      <c r="D17" s="1"/>
      <c r="E17" s="1"/>
      <c r="F17"/>
      <c r="G17" s="98"/>
      <c r="H17"/>
    </row>
    <row r="18" spans="1:8" s="2" customFormat="1" ht="15" customHeight="1" x14ac:dyDescent="0.25">
      <c r="A18" s="98"/>
      <c r="B18"/>
      <c r="C18"/>
      <c r="D18" s="263" t="str">
        <f>BA2</f>
        <v/>
      </c>
      <c r="E18" s="263"/>
      <c r="F18"/>
      <c r="G18" s="98"/>
      <c r="H18"/>
    </row>
    <row r="19" spans="1:8" s="2" customFormat="1" ht="15" customHeight="1" x14ac:dyDescent="0.25">
      <c r="A19" s="98"/>
      <c r="B19"/>
      <c r="C19"/>
      <c r="D19"/>
      <c r="E19"/>
      <c r="F19"/>
      <c r="G19" s="98"/>
      <c r="H19"/>
    </row>
    <row r="20" spans="1:8" s="2" customFormat="1" ht="15" customHeight="1" x14ac:dyDescent="0.25">
      <c r="A20" s="98"/>
      <c r="B20" s="260"/>
      <c r="C20" s="260"/>
      <c r="D20"/>
      <c r="E20"/>
      <c r="F20"/>
      <c r="G20" s="98"/>
      <c r="H20"/>
    </row>
    <row r="21" spans="1:8" s="2" customFormat="1" ht="15" customHeight="1" x14ac:dyDescent="0.25">
      <c r="A21" s="98"/>
      <c r="B21"/>
      <c r="C21"/>
      <c r="D21" s="8"/>
      <c r="E21"/>
      <c r="F21"/>
      <c r="G21" s="98"/>
      <c r="H21"/>
    </row>
    <row r="22" spans="1:8" s="2" customFormat="1" ht="15" customHeight="1" x14ac:dyDescent="0.25">
      <c r="A22" s="98"/>
      <c r="B22"/>
      <c r="C22"/>
      <c r="D22"/>
      <c r="E22"/>
      <c r="F22"/>
      <c r="G22" s="98"/>
      <c r="H22"/>
    </row>
    <row r="23" spans="1:8" s="2" customFormat="1" ht="15" customHeight="1" x14ac:dyDescent="0.25">
      <c r="A23" s="98"/>
      <c r="B23"/>
      <c r="C23"/>
      <c r="D23"/>
      <c r="E23"/>
      <c r="F23"/>
      <c r="G23" s="98"/>
      <c r="H23"/>
    </row>
    <row r="24" spans="1:8" s="2" customFormat="1" ht="15" customHeight="1" x14ac:dyDescent="0.25">
      <c r="A24" s="98"/>
      <c r="B24"/>
      <c r="C24"/>
      <c r="D24"/>
      <c r="E24"/>
      <c r="F24"/>
      <c r="G24" s="98"/>
      <c r="H24"/>
    </row>
    <row r="25" spans="1:8" s="2" customFormat="1" ht="15" customHeight="1" x14ac:dyDescent="0.25">
      <c r="A25" s="98"/>
      <c r="B25"/>
      <c r="C25"/>
      <c r="D25"/>
      <c r="E25"/>
      <c r="F25"/>
      <c r="G25" s="98"/>
      <c r="H25"/>
    </row>
    <row r="26" spans="1:8" s="7" customFormat="1" ht="15" customHeight="1" x14ac:dyDescent="0.25">
      <c r="A26" s="98"/>
      <c r="B26"/>
      <c r="C26"/>
      <c r="D26"/>
      <c r="E26"/>
      <c r="F26"/>
      <c r="G26" s="98"/>
      <c r="H26"/>
    </row>
    <row r="27" spans="1:8" s="2" customFormat="1" ht="15" customHeight="1" x14ac:dyDescent="0.25">
      <c r="A27" s="98"/>
      <c r="B27" s="1"/>
      <c r="C27" s="1"/>
      <c r="D27"/>
      <c r="E27"/>
      <c r="F27" s="1"/>
      <c r="G27" s="98"/>
      <c r="H27" s="1"/>
    </row>
    <row r="28" spans="1:8" s="2" customFormat="1" ht="15" customHeight="1" x14ac:dyDescent="0.25">
      <c r="A28" s="98"/>
      <c r="B28"/>
      <c r="C28"/>
      <c r="D28" s="1"/>
      <c r="E28" s="1"/>
      <c r="F28"/>
      <c r="G28" s="98"/>
      <c r="H28"/>
    </row>
    <row r="29" spans="1:8" s="2" customFormat="1" ht="15" customHeight="1" x14ac:dyDescent="0.25">
      <c r="A29" s="98"/>
      <c r="B29"/>
      <c r="C29"/>
      <c r="D29"/>
      <c r="E29"/>
      <c r="F29"/>
      <c r="G29" s="98"/>
      <c r="H29"/>
    </row>
    <row r="30" spans="1:8" s="2" customFormat="1" ht="15" customHeight="1" x14ac:dyDescent="0.25">
      <c r="A30" s="98"/>
      <c r="B30"/>
      <c r="C30"/>
      <c r="D30"/>
      <c r="E30"/>
      <c r="F30"/>
      <c r="G30" s="98"/>
      <c r="H30"/>
    </row>
    <row r="31" spans="1:8" s="2" customFormat="1" ht="15" customHeight="1" x14ac:dyDescent="0.25">
      <c r="A31" s="98"/>
      <c r="B31"/>
      <c r="C31"/>
      <c r="D31"/>
      <c r="E31"/>
      <c r="F31"/>
      <c r="G31" s="98"/>
      <c r="H31"/>
    </row>
    <row r="32" spans="1:8" s="2" customFormat="1" ht="15" customHeight="1" x14ac:dyDescent="0.25">
      <c r="A32" s="98"/>
      <c r="B32"/>
      <c r="C32"/>
      <c r="D32"/>
      <c r="E32"/>
      <c r="F32"/>
      <c r="G32" s="98"/>
      <c r="H32"/>
    </row>
    <row r="33" spans="1:8" s="2" customFormat="1" ht="15" customHeight="1" x14ac:dyDescent="0.25">
      <c r="A33" s="98"/>
      <c r="B33" s="91"/>
      <c r="C33" s="91"/>
      <c r="D33" s="8"/>
      <c r="E33"/>
      <c r="F33" s="91"/>
      <c r="G33" s="98"/>
      <c r="H33" s="91"/>
    </row>
    <row r="34" spans="1:8" s="2" customFormat="1" ht="15" customHeight="1" x14ac:dyDescent="0.25">
      <c r="A34" s="98"/>
      <c r="B34" s="91"/>
      <c r="C34" s="91"/>
      <c r="D34" s="91"/>
      <c r="E34" s="91"/>
      <c r="F34" s="91"/>
      <c r="G34" s="98"/>
      <c r="H34" s="91"/>
    </row>
    <row r="35" spans="1:8" s="2" customFormat="1" ht="15" customHeight="1" x14ac:dyDescent="0.25">
      <c r="A35" s="98"/>
      <c r="B35" s="93"/>
      <c r="C35" s="93"/>
      <c r="D35" s="91"/>
      <c r="E35" s="112"/>
      <c r="F35" s="93"/>
      <c r="G35" s="98"/>
      <c r="H35" s="91"/>
    </row>
    <row r="36" spans="1:8" s="2" customFormat="1" ht="15" customHeight="1" x14ac:dyDescent="0.25">
      <c r="A36" s="98"/>
      <c r="B36" s="93"/>
      <c r="C36" s="93"/>
      <c r="D36" s="93"/>
      <c r="E36" s="93"/>
      <c r="F36" s="93"/>
      <c r="G36" s="98"/>
      <c r="H36" s="91"/>
    </row>
    <row r="37" spans="1:8" s="2" customFormat="1" ht="15" customHeight="1" x14ac:dyDescent="0.25">
      <c r="A37" s="98"/>
      <c r="B37" s="93"/>
      <c r="C37" s="93"/>
      <c r="D37" s="93"/>
      <c r="E37" s="93"/>
      <c r="F37" s="93"/>
      <c r="G37" s="98"/>
      <c r="H37" s="91"/>
    </row>
    <row r="38" spans="1:8" s="2" customFormat="1" ht="15" customHeight="1" x14ac:dyDescent="0.25">
      <c r="A38" s="98"/>
      <c r="B38" s="93"/>
      <c r="C38" s="93"/>
      <c r="D38" s="93"/>
      <c r="E38" s="93"/>
      <c r="F38" s="93"/>
      <c r="G38" s="98"/>
      <c r="H38" s="91"/>
    </row>
    <row r="39" spans="1:8" s="2" customFormat="1" ht="15" customHeight="1" x14ac:dyDescent="0.25">
      <c r="A39" s="98"/>
      <c r="B39" s="93"/>
      <c r="C39" s="93"/>
      <c r="D39" s="93"/>
      <c r="E39" s="93"/>
      <c r="F39" s="93"/>
      <c r="G39" s="98"/>
      <c r="H39" s="91"/>
    </row>
    <row r="40" spans="1:8" s="2" customFormat="1" ht="15" customHeight="1" x14ac:dyDescent="0.25">
      <c r="A40" s="98"/>
      <c r="B40" s="93"/>
      <c r="C40" s="93"/>
      <c r="D40" s="93"/>
      <c r="E40" s="93"/>
      <c r="F40" s="93"/>
      <c r="G40" s="98"/>
      <c r="H40" s="91"/>
    </row>
    <row r="41" spans="1:8" s="2" customFormat="1" ht="15" customHeight="1" x14ac:dyDescent="0.25">
      <c r="A41" s="98"/>
      <c r="B41" s="93"/>
      <c r="C41" s="93"/>
      <c r="D41" s="93"/>
      <c r="E41" s="93"/>
      <c r="F41" s="93"/>
      <c r="G41" s="98"/>
      <c r="H41" s="91"/>
    </row>
    <row r="42" spans="1:8" s="2" customFormat="1" ht="15" customHeight="1" x14ac:dyDescent="0.25">
      <c r="A42" s="98"/>
      <c r="B42"/>
      <c r="C42"/>
      <c r="D42" s="93"/>
      <c r="E42" s="93"/>
      <c r="F42"/>
      <c r="G42" s="98"/>
      <c r="H42"/>
    </row>
    <row r="43" spans="1:8" s="2" customFormat="1" ht="15" customHeight="1" x14ac:dyDescent="0.25">
      <c r="A43" s="98"/>
      <c r="B43" s="1"/>
      <c r="C43" s="1"/>
      <c r="D43"/>
      <c r="E43"/>
      <c r="F43" s="1"/>
      <c r="G43" s="98"/>
      <c r="H43"/>
    </row>
    <row r="44" spans="1:8" s="2" customFormat="1" ht="15" customHeight="1" x14ac:dyDescent="0.25">
      <c r="A44" s="98"/>
      <c r="B44" s="1"/>
      <c r="C44" s="1"/>
      <c r="D44" s="1"/>
      <c r="E44" s="1"/>
      <c r="F44" s="1"/>
      <c r="G44" s="98"/>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VS"/>
  <dimension ref="A1:BU10"/>
  <sheetViews>
    <sheetView workbookViewId="0">
      <selection activeCell="B93" sqref="B93"/>
    </sheetView>
  </sheetViews>
  <sheetFormatPr defaultRowHeight="15" x14ac:dyDescent="0.25"/>
  <cols>
    <col min="1" max="1" width="13.140625" bestFit="1" customWidth="1"/>
    <col min="2" max="2" width="11.5703125" bestFit="1" customWidth="1"/>
    <col min="6" max="8" width="9.140625" style="128"/>
    <col min="10" max="11" width="13.140625" bestFit="1" customWidth="1"/>
    <col min="12" max="12" width="11.5703125" bestFit="1" customWidth="1"/>
    <col min="13" max="13" width="8.7109375" bestFit="1" customWidth="1"/>
    <col min="14" max="14" width="8.28515625" bestFit="1" customWidth="1"/>
    <col min="15" max="17" width="8.28515625" style="128" customWidth="1"/>
    <col min="18" max="18" width="11.28515625" bestFit="1" customWidth="1"/>
    <col min="21" max="21" width="14.28515625" bestFit="1" customWidth="1"/>
    <col min="22" max="22" width="7.140625" bestFit="1" customWidth="1"/>
    <col min="23" max="23" width="11" bestFit="1" customWidth="1"/>
    <col min="24" max="26" width="11" style="128" customWidth="1"/>
    <col min="27" max="27" width="11" bestFit="1" customWidth="1"/>
    <col min="31" max="31" width="12" bestFit="1" customWidth="1"/>
    <col min="32" max="32" width="17.85546875" bestFit="1" customWidth="1"/>
    <col min="33" max="33" width="31.28515625" bestFit="1" customWidth="1"/>
    <col min="34" max="35" width="31.28515625" style="128" customWidth="1"/>
    <col min="36" max="36" width="31.28515625" bestFit="1" customWidth="1"/>
    <col min="37" max="37" width="33.140625" bestFit="1" customWidth="1"/>
    <col min="38" max="39" width="36.28515625" style="127" bestFit="1" customWidth="1"/>
    <col min="40" max="40" width="14.28515625" bestFit="1" customWidth="1"/>
    <col min="41" max="41" width="22.28515625" bestFit="1" customWidth="1"/>
    <col min="42" max="42" width="13.140625" bestFit="1" customWidth="1"/>
    <col min="43" max="43" width="11.5703125" bestFit="1" customWidth="1"/>
    <col min="47" max="49" width="9.140625" style="128"/>
    <col min="53" max="53" width="13.140625" bestFit="1" customWidth="1"/>
    <col min="54" max="54" width="7.140625" bestFit="1" customWidth="1"/>
    <col min="57" max="59" width="9.140625" style="128"/>
    <col min="63" max="63" width="12" bestFit="1" customWidth="1"/>
    <col min="64" max="64" width="7.140625" bestFit="1" customWidth="1"/>
    <col min="66" max="70" width="9.140625" style="128"/>
    <col min="72" max="72" width="12" bestFit="1" customWidth="1"/>
    <col min="73" max="73" width="7.140625" bestFit="1" customWidth="1"/>
    <col min="76" max="76" width="12" bestFit="1" customWidth="1"/>
    <col min="77" max="77" width="17.85546875" bestFit="1" customWidth="1"/>
    <col min="81" max="81" width="12" bestFit="1" customWidth="1"/>
    <col min="82" max="82" width="17.85546875" bestFit="1" customWidth="1"/>
  </cols>
  <sheetData>
    <row r="1" spans="1:73" x14ac:dyDescent="0.25">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x14ac:dyDescent="0.25">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x14ac:dyDescent="0.25">
      <c r="AP3" s="123"/>
      <c r="AQ3" s="123"/>
      <c r="BA3" s="127"/>
      <c r="BB3" s="127"/>
    </row>
    <row r="4" spans="1:73" x14ac:dyDescent="0.25">
      <c r="A4" s="94" t="s">
        <v>216</v>
      </c>
      <c r="B4" t="s">
        <v>217</v>
      </c>
      <c r="K4" s="94" t="s">
        <v>216</v>
      </c>
      <c r="L4" t="s">
        <v>217</v>
      </c>
      <c r="U4" s="94" t="s">
        <v>218</v>
      </c>
      <c r="AL4"/>
      <c r="AM4"/>
      <c r="AP4" s="94" t="s">
        <v>216</v>
      </c>
      <c r="AQ4" t="s">
        <v>217</v>
      </c>
      <c r="BA4" s="94" t="s">
        <v>216</v>
      </c>
    </row>
    <row r="5" spans="1:73" x14ac:dyDescent="0.25">
      <c r="A5" s="96" t="s">
        <v>56</v>
      </c>
      <c r="B5" s="95">
        <v>1</v>
      </c>
      <c r="K5" s="96" t="s">
        <v>237</v>
      </c>
      <c r="L5" s="95">
        <v>1</v>
      </c>
      <c r="U5" s="96" t="s">
        <v>192</v>
      </c>
      <c r="V5" s="129"/>
      <c r="AL5"/>
      <c r="AM5"/>
      <c r="AP5" s="126" t="s">
        <v>242</v>
      </c>
      <c r="AQ5" s="95">
        <v>1</v>
      </c>
      <c r="BA5" s="96" t="s">
        <v>235</v>
      </c>
    </row>
    <row r="6" spans="1:73" x14ac:dyDescent="0.25">
      <c r="A6" s="96" t="s">
        <v>244</v>
      </c>
      <c r="B6" s="95">
        <v>1</v>
      </c>
      <c r="K6" s="96" t="s">
        <v>236</v>
      </c>
      <c r="L6" s="95">
        <v>1</v>
      </c>
      <c r="U6" s="96" t="s">
        <v>220</v>
      </c>
      <c r="V6" s="129"/>
      <c r="AL6"/>
      <c r="AM6"/>
      <c r="AP6" s="126" t="s">
        <v>240</v>
      </c>
      <c r="AQ6" s="95">
        <v>3</v>
      </c>
    </row>
    <row r="7" spans="1:73" x14ac:dyDescent="0.25">
      <c r="A7" s="96" t="s">
        <v>59</v>
      </c>
      <c r="B7" s="95">
        <v>1</v>
      </c>
      <c r="K7" s="96" t="s">
        <v>168</v>
      </c>
      <c r="L7" s="95">
        <v>2</v>
      </c>
      <c r="U7" s="96" t="s">
        <v>193</v>
      </c>
      <c r="V7" s="129"/>
      <c r="AL7"/>
      <c r="AM7"/>
    </row>
    <row r="8" spans="1:73" x14ac:dyDescent="0.25">
      <c r="A8" s="96" t="s">
        <v>58</v>
      </c>
      <c r="B8" s="95">
        <v>1</v>
      </c>
      <c r="AL8"/>
      <c r="AM8"/>
    </row>
    <row r="9" spans="1:73" x14ac:dyDescent="0.25">
      <c r="AL9"/>
      <c r="AM9"/>
    </row>
    <row r="10" spans="1:73" x14ac:dyDescent="0.25">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CW58"/>
  <sheetViews>
    <sheetView showGridLines="0" showRowColHeaders="0" tabSelected="1" topLeftCell="H6" zoomScale="90" zoomScaleNormal="90" workbookViewId="0">
      <selection activeCell="BH41" sqref="BH41"/>
    </sheetView>
  </sheetViews>
  <sheetFormatPr defaultColWidth="0" defaultRowHeight="15" x14ac:dyDescent="0.25"/>
  <cols>
    <col min="1" max="7" width="0" style="134" hidden="1" customWidth="1"/>
    <col min="8" max="9" width="2.7109375" style="134" customWidth="1"/>
    <col min="10" max="10" width="6.7109375" style="136" customWidth="1"/>
    <col min="11" max="11" width="45.7109375" style="136" customWidth="1"/>
    <col min="12" max="12" width="10.7109375" style="138" customWidth="1"/>
    <col min="13" max="13" width="10.7109375" style="134" hidden="1" customWidth="1"/>
    <col min="14" max="14" width="15.7109375" style="136" customWidth="1"/>
    <col min="15" max="18" width="15.7109375" style="137" hidden="1" customWidth="1"/>
    <col min="19" max="20" width="15.7109375" style="137" customWidth="1"/>
    <col min="21" max="21" width="10.7109375" style="137" customWidth="1"/>
    <col min="22" max="22" width="15.7109375" style="134" hidden="1" customWidth="1"/>
    <col min="23" max="23" width="5.7109375" style="134" customWidth="1"/>
    <col min="24" max="24" width="10.7109375" style="135" customWidth="1"/>
    <col min="25" max="30" width="15.7109375" style="137" hidden="1" customWidth="1"/>
    <col min="31" max="31" width="15.7109375" style="139" hidden="1" customWidth="1"/>
    <col min="32" max="55" width="15.7109375" style="134" hidden="1" customWidth="1"/>
    <col min="56" max="56" width="2.7109375" style="134" customWidth="1"/>
    <col min="57" max="91" width="3.7109375" customWidth="1"/>
    <col min="92" max="16384" width="10.7109375" hidden="1"/>
  </cols>
  <sheetData>
    <row r="1" spans="1:101" hidden="1" x14ac:dyDescent="0.25">
      <c r="A1" s="134" t="s">
        <v>234</v>
      </c>
      <c r="B1" s="134" t="s">
        <v>226</v>
      </c>
      <c r="C1" s="134" t="s">
        <v>227</v>
      </c>
      <c r="D1" s="134" t="s">
        <v>228</v>
      </c>
      <c r="E1" s="134" t="s">
        <v>229</v>
      </c>
      <c r="F1" s="134" t="s">
        <v>230</v>
      </c>
      <c r="G1" s="134" t="s">
        <v>160</v>
      </c>
      <c r="H1" s="134" t="s">
        <v>161</v>
      </c>
      <c r="I1" s="134" t="s">
        <v>231</v>
      </c>
      <c r="J1" s="136"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CM1" t="s">
        <v>280</v>
      </c>
    </row>
    <row r="2" spans="1:101" hidden="1" x14ac:dyDescent="0.25">
      <c r="A2" s="134" t="s">
        <v>263</v>
      </c>
      <c r="B2" s="134" t="s">
        <v>263</v>
      </c>
      <c r="C2" s="134" t="s">
        <v>263</v>
      </c>
      <c r="D2" s="134" t="s">
        <v>263</v>
      </c>
      <c r="E2" s="134" t="s">
        <v>263</v>
      </c>
      <c r="F2" s="134" t="s">
        <v>263</v>
      </c>
      <c r="G2" s="134" t="s">
        <v>263</v>
      </c>
      <c r="H2" s="134">
        <v>1</v>
      </c>
      <c r="I2" s="134" t="s">
        <v>263</v>
      </c>
      <c r="J2" s="136"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101" hidden="1" x14ac:dyDescent="0.25"/>
    <row r="4" spans="1:101" hidden="1" x14ac:dyDescent="0.25"/>
    <row r="5" spans="1:101" hidden="1" x14ac:dyDescent="0.25"/>
    <row r="6" spans="1:101" ht="24" customHeight="1" x14ac:dyDescent="0.25">
      <c r="H6" s="140"/>
      <c r="I6" s="140"/>
      <c r="J6" s="228" t="s">
        <v>286</v>
      </c>
      <c r="K6" s="229"/>
      <c r="L6" s="142"/>
      <c r="M6" s="140"/>
      <c r="N6" s="141"/>
      <c r="O6" s="143"/>
      <c r="P6" s="143"/>
      <c r="Q6" s="143"/>
      <c r="R6" s="143"/>
      <c r="S6" s="143"/>
      <c r="T6" s="143"/>
      <c r="U6" s="18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44431</v>
      </c>
      <c r="BF6" s="146">
        <v>44432</v>
      </c>
      <c r="BG6" s="146">
        <v>44433</v>
      </c>
      <c r="BH6" s="146">
        <v>44434</v>
      </c>
      <c r="BI6" s="146">
        <v>44435</v>
      </c>
      <c r="BJ6" s="146">
        <v>44436</v>
      </c>
      <c r="BK6" s="146">
        <v>44437</v>
      </c>
      <c r="BL6" s="146">
        <v>44438</v>
      </c>
      <c r="BM6" s="146">
        <v>44439</v>
      </c>
      <c r="BN6" s="146">
        <v>44440</v>
      </c>
      <c r="BO6" s="146">
        <v>44441</v>
      </c>
      <c r="BP6" s="146">
        <v>44442</v>
      </c>
      <c r="BQ6" s="146">
        <v>44443</v>
      </c>
      <c r="BR6" s="146">
        <v>44444</v>
      </c>
      <c r="BS6" s="146">
        <v>44445</v>
      </c>
      <c r="BT6" s="146">
        <v>44446</v>
      </c>
      <c r="BU6" s="146">
        <v>44447</v>
      </c>
      <c r="BV6" s="146">
        <v>44448</v>
      </c>
      <c r="BW6" s="146">
        <v>44449</v>
      </c>
      <c r="BX6" s="146">
        <v>44450</v>
      </c>
      <c r="BY6" s="146">
        <v>44451</v>
      </c>
      <c r="BZ6" s="146">
        <v>44452</v>
      </c>
      <c r="CA6" s="146">
        <v>44453</v>
      </c>
      <c r="CB6" s="146">
        <v>44454</v>
      </c>
      <c r="CC6" s="146">
        <v>44455</v>
      </c>
      <c r="CD6" s="146">
        <v>44456</v>
      </c>
      <c r="CE6" s="146">
        <v>44457</v>
      </c>
      <c r="CF6" s="146">
        <v>44458</v>
      </c>
      <c r="CG6" s="146">
        <v>44459</v>
      </c>
      <c r="CH6" s="146">
        <v>44460</v>
      </c>
      <c r="CI6" s="146">
        <v>44461</v>
      </c>
      <c r="CJ6" s="146">
        <v>44462</v>
      </c>
      <c r="CK6" s="146">
        <v>44463</v>
      </c>
      <c r="CL6" s="146">
        <v>44464</v>
      </c>
      <c r="CM6" s="146">
        <v>44465</v>
      </c>
    </row>
    <row r="7" spans="1:101" x14ac:dyDescent="0.25">
      <c r="J7" s="226" t="s">
        <v>309</v>
      </c>
      <c r="K7" s="227"/>
      <c r="BE7" s="178" t="s">
        <v>313</v>
      </c>
      <c r="BF7" s="178"/>
      <c r="BG7" s="178"/>
      <c r="BH7" s="178"/>
      <c r="BI7" s="179"/>
      <c r="BJ7" s="179" t="s">
        <v>349</v>
      </c>
      <c r="BK7" s="178"/>
      <c r="BL7" s="178"/>
      <c r="BM7" s="178"/>
      <c r="BN7" s="178" t="s">
        <v>350</v>
      </c>
      <c r="BO7" s="178"/>
      <c r="BP7" s="178"/>
      <c r="BQ7" s="178"/>
      <c r="BR7" s="179" t="s">
        <v>351</v>
      </c>
      <c r="BS7" s="178"/>
      <c r="BT7" s="178"/>
      <c r="BU7" s="178"/>
      <c r="BV7" s="179" t="s">
        <v>352</v>
      </c>
      <c r="BW7" s="180"/>
      <c r="BX7" s="179"/>
      <c r="BY7" s="179"/>
      <c r="BZ7" s="178" t="s">
        <v>353</v>
      </c>
      <c r="CA7" s="178"/>
      <c r="CB7" s="178"/>
      <c r="CC7" s="178"/>
      <c r="CD7" s="178" t="s">
        <v>354</v>
      </c>
      <c r="CE7" s="178"/>
      <c r="CF7" s="178"/>
      <c r="CG7" s="179"/>
      <c r="CH7" s="178" t="s">
        <v>356</v>
      </c>
      <c r="CI7" s="178"/>
      <c r="CJ7" s="178"/>
      <c r="CK7" s="179"/>
      <c r="CL7" s="178" t="s">
        <v>355</v>
      </c>
      <c r="CM7" s="178"/>
    </row>
    <row r="8" spans="1:101" s="230" customFormat="1" x14ac:dyDescent="0.25">
      <c r="A8" s="134"/>
      <c r="B8" s="134"/>
      <c r="C8" s="134"/>
      <c r="D8" s="134"/>
      <c r="E8" s="134"/>
      <c r="F8" s="134"/>
      <c r="G8" s="134"/>
      <c r="H8" s="151"/>
      <c r="I8" s="151"/>
      <c r="J8" s="152" t="s">
        <v>282</v>
      </c>
      <c r="K8" s="153"/>
      <c r="L8" s="154"/>
      <c r="M8" s="151"/>
      <c r="N8" s="153"/>
      <c r="O8" s="155"/>
      <c r="P8" s="155"/>
      <c r="Q8" s="155"/>
      <c r="R8" s="155"/>
      <c r="S8" s="155"/>
      <c r="T8" s="155"/>
      <c r="U8" s="155"/>
      <c r="V8" s="151"/>
      <c r="W8" s="151"/>
      <c r="X8" s="156"/>
      <c r="Y8" s="155"/>
      <c r="Z8" s="155"/>
      <c r="AA8" s="155"/>
      <c r="AB8" s="155"/>
      <c r="AC8" s="155"/>
      <c r="AD8" s="155"/>
      <c r="AE8" s="157"/>
      <c r="AF8" s="151"/>
      <c r="AG8" s="151"/>
      <c r="AH8" s="151"/>
      <c r="AI8" s="151"/>
      <c r="AJ8" s="151"/>
      <c r="AK8" s="151"/>
      <c r="AL8" s="151"/>
      <c r="AM8" s="151"/>
      <c r="AN8" s="151"/>
      <c r="AO8" s="151"/>
      <c r="AP8" s="151"/>
      <c r="AQ8" s="151"/>
      <c r="AR8" s="151"/>
      <c r="AS8" s="151"/>
      <c r="AT8" s="151"/>
      <c r="AU8" s="151"/>
      <c r="AV8" s="151"/>
      <c r="AW8" s="151"/>
      <c r="AX8" s="151"/>
      <c r="AY8" s="151"/>
      <c r="AZ8" s="151"/>
      <c r="BA8" s="151"/>
      <c r="BB8" s="151"/>
      <c r="BC8" s="151"/>
      <c r="BD8" s="158"/>
      <c r="BE8" s="256"/>
      <c r="BF8" s="257"/>
      <c r="BG8" s="257"/>
      <c r="BH8" s="256"/>
      <c r="BI8" s="241"/>
      <c r="BJ8" s="241"/>
      <c r="BK8" s="240"/>
      <c r="BL8" s="241"/>
      <c r="BM8" s="242"/>
      <c r="BN8" s="242"/>
      <c r="BO8" s="242"/>
      <c r="BP8" s="242"/>
      <c r="BQ8" s="243"/>
      <c r="BR8" s="244"/>
      <c r="BS8" s="244"/>
      <c r="BT8" s="243"/>
      <c r="BU8" s="245"/>
      <c r="BV8" s="245"/>
      <c r="BW8" s="246"/>
      <c r="BX8" s="247"/>
      <c r="BY8" s="248"/>
      <c r="BZ8" s="249"/>
      <c r="CA8" s="249"/>
      <c r="CB8" s="249"/>
      <c r="CC8" s="250"/>
      <c r="CD8" s="250"/>
      <c r="CE8" s="250"/>
      <c r="CF8" s="251"/>
      <c r="CG8" s="252"/>
      <c r="CH8" s="253"/>
      <c r="CI8" s="254"/>
      <c r="CJ8" s="255"/>
      <c r="CK8" s="258"/>
      <c r="CL8" s="259"/>
      <c r="CM8" s="258"/>
      <c r="CN8" s="231"/>
    </row>
    <row r="9" spans="1:101" s="239" customFormat="1" ht="24" customHeight="1" x14ac:dyDescent="0.2">
      <c r="A9" s="134" t="s">
        <v>234</v>
      </c>
      <c r="B9" s="134" t="s">
        <v>226</v>
      </c>
      <c r="C9" s="134" t="s">
        <v>227</v>
      </c>
      <c r="D9" s="134" t="s">
        <v>228</v>
      </c>
      <c r="E9" s="134" t="s">
        <v>229</v>
      </c>
      <c r="F9" s="134" t="s">
        <v>230</v>
      </c>
      <c r="G9" s="134" t="s">
        <v>160</v>
      </c>
      <c r="H9" s="148"/>
      <c r="I9" s="148"/>
      <c r="J9" s="181" t="s">
        <v>27</v>
      </c>
      <c r="K9" s="181" t="s">
        <v>26</v>
      </c>
      <c r="L9" s="181" t="s">
        <v>137</v>
      </c>
      <c r="M9" s="181" t="s">
        <v>138</v>
      </c>
      <c r="N9" s="181" t="s">
        <v>225</v>
      </c>
      <c r="O9" s="181" t="s">
        <v>232</v>
      </c>
      <c r="P9" s="181" t="s">
        <v>264</v>
      </c>
      <c r="Q9" s="181" t="s">
        <v>265</v>
      </c>
      <c r="R9" s="181" t="s">
        <v>266</v>
      </c>
      <c r="S9" s="181" t="s">
        <v>267</v>
      </c>
      <c r="T9" s="181" t="s">
        <v>268</v>
      </c>
      <c r="U9" s="181" t="s">
        <v>269</v>
      </c>
      <c r="V9" s="181" t="s">
        <v>223</v>
      </c>
      <c r="W9" s="181" t="s">
        <v>233</v>
      </c>
      <c r="X9" s="182" t="s">
        <v>270</v>
      </c>
      <c r="Y9" s="223" t="s">
        <v>271</v>
      </c>
      <c r="Z9" s="223" t="s">
        <v>272</v>
      </c>
      <c r="AA9" s="223" t="s">
        <v>273</v>
      </c>
      <c r="AB9" s="223" t="s">
        <v>192</v>
      </c>
      <c r="AC9" s="223" t="s">
        <v>274</v>
      </c>
      <c r="AD9" s="223" t="s">
        <v>193</v>
      </c>
      <c r="AE9" s="224" t="s">
        <v>12</v>
      </c>
      <c r="AF9" s="223" t="s">
        <v>275</v>
      </c>
      <c r="AG9" s="223" t="s">
        <v>276</v>
      </c>
      <c r="AH9" s="223" t="s">
        <v>277</v>
      </c>
      <c r="AI9" s="223" t="s">
        <v>278</v>
      </c>
      <c r="AJ9" s="223" t="s">
        <v>172</v>
      </c>
      <c r="AK9" s="223" t="s">
        <v>173</v>
      </c>
      <c r="AL9" s="223" t="s">
        <v>174</v>
      </c>
      <c r="AM9" s="223" t="s">
        <v>175</v>
      </c>
      <c r="AN9" s="223" t="s">
        <v>176</v>
      </c>
      <c r="AO9" s="223" t="s">
        <v>177</v>
      </c>
      <c r="AP9" s="223" t="s">
        <v>178</v>
      </c>
      <c r="AQ9" s="223" t="s">
        <v>179</v>
      </c>
      <c r="AR9" s="223" t="s">
        <v>180</v>
      </c>
      <c r="AS9" s="223" t="s">
        <v>181</v>
      </c>
      <c r="AT9" s="223" t="s">
        <v>182</v>
      </c>
      <c r="AU9" s="223" t="s">
        <v>183</v>
      </c>
      <c r="AV9" s="223" t="s">
        <v>184</v>
      </c>
      <c r="AW9" s="223" t="s">
        <v>185</v>
      </c>
      <c r="AX9" s="223" t="s">
        <v>186</v>
      </c>
      <c r="AY9" s="223" t="s">
        <v>187</v>
      </c>
      <c r="AZ9" s="223" t="s">
        <v>188</v>
      </c>
      <c r="BA9" s="223" t="s">
        <v>189</v>
      </c>
      <c r="BB9" s="223" t="s">
        <v>190</v>
      </c>
      <c r="BC9" s="223" t="s">
        <v>191</v>
      </c>
      <c r="BD9" s="225"/>
      <c r="BE9" s="234"/>
      <c r="BF9" s="235"/>
      <c r="BG9" s="235"/>
      <c r="BH9" s="236"/>
      <c r="BI9" s="235"/>
      <c r="BJ9" s="235"/>
      <c r="BK9" s="237"/>
      <c r="BL9" s="235"/>
      <c r="BM9" s="235"/>
      <c r="BN9" s="235"/>
      <c r="BO9" s="235"/>
      <c r="BP9" s="235"/>
      <c r="BQ9" s="237"/>
      <c r="BR9" s="235"/>
      <c r="BS9" s="235"/>
      <c r="BT9" s="237"/>
      <c r="BU9" s="235"/>
      <c r="BV9" s="235"/>
      <c r="BW9" s="237"/>
      <c r="BX9" s="236"/>
      <c r="BY9" s="236"/>
      <c r="BZ9" s="235"/>
      <c r="CA9" s="235"/>
      <c r="CB9" s="235"/>
      <c r="CC9" s="235"/>
      <c r="CD9" s="235"/>
      <c r="CE9" s="235"/>
      <c r="CF9" s="237"/>
      <c r="CG9" s="235"/>
      <c r="CH9" s="235"/>
      <c r="CI9" s="237"/>
      <c r="CJ9" s="236"/>
      <c r="CK9" s="235"/>
      <c r="CL9" s="235"/>
      <c r="CM9" s="236"/>
      <c r="CN9" s="238"/>
    </row>
    <row r="10" spans="1:101" s="150" customFormat="1" ht="18" customHeight="1" x14ac:dyDescent="0.25">
      <c r="A10" s="134" t="s">
        <v>167</v>
      </c>
      <c r="B10" s="134">
        <v>1</v>
      </c>
      <c r="C10" s="134"/>
      <c r="D10" s="134"/>
      <c r="E10" s="134"/>
      <c r="F10" s="134"/>
      <c r="G10" s="134">
        <v>0</v>
      </c>
      <c r="H10" s="159"/>
      <c r="I10" s="160" t="s">
        <v>169</v>
      </c>
      <c r="J10" s="186">
        <v>1</v>
      </c>
      <c r="K10" s="187" t="s">
        <v>287</v>
      </c>
      <c r="L10" s="188" t="s">
        <v>168</v>
      </c>
      <c r="M10" s="189" t="s">
        <v>58</v>
      </c>
      <c r="N10" s="190"/>
      <c r="O10" s="191"/>
      <c r="P10" s="192"/>
      <c r="Q10" s="192"/>
      <c r="R10" s="193"/>
      <c r="S10" s="194" t="s">
        <v>293</v>
      </c>
      <c r="T10" s="194" t="s">
        <v>293</v>
      </c>
      <c r="U10" s="195" t="s">
        <v>328</v>
      </c>
      <c r="V10" s="196"/>
      <c r="W10" s="197">
        <v>1</v>
      </c>
      <c r="X10" s="198">
        <v>0.02</v>
      </c>
      <c r="Y10" s="163"/>
      <c r="Z10" s="163"/>
      <c r="AA10" s="164"/>
      <c r="AB10" s="162"/>
      <c r="AC10" s="162"/>
      <c r="AD10" s="162"/>
      <c r="AE10" s="165"/>
      <c r="AF10" s="161"/>
      <c r="AG10" s="161"/>
      <c r="AH10" s="161"/>
      <c r="AI10" s="161"/>
      <c r="AJ10" s="161"/>
      <c r="AK10" s="161"/>
      <c r="AL10" s="161"/>
      <c r="AM10" s="161"/>
      <c r="AN10" s="161"/>
      <c r="AO10" s="161"/>
      <c r="AP10" s="161"/>
      <c r="AQ10" s="161"/>
      <c r="AR10" s="161"/>
      <c r="AS10" s="161"/>
      <c r="AT10" s="161"/>
      <c r="AU10" s="161"/>
      <c r="AV10" s="161"/>
      <c r="AW10" s="161"/>
      <c r="AX10" s="161"/>
      <c r="AY10" s="161"/>
      <c r="AZ10" s="161"/>
      <c r="BA10" s="161"/>
      <c r="BB10" s="161"/>
      <c r="BC10" s="161"/>
      <c r="BD10" s="172"/>
      <c r="BE10" s="232"/>
      <c r="BF10" s="176"/>
      <c r="BG10" s="166"/>
      <c r="BH10" s="166"/>
      <c r="BI10" s="166"/>
      <c r="BJ10" s="166"/>
      <c r="BK10" s="166"/>
      <c r="BL10" s="166"/>
      <c r="BM10" s="166"/>
      <c r="BN10" s="166"/>
      <c r="BO10" s="166"/>
      <c r="BP10" s="166"/>
      <c r="BQ10" s="166"/>
      <c r="BR10" s="166"/>
      <c r="BS10" s="166"/>
      <c r="BT10" s="166"/>
      <c r="BU10" s="166"/>
      <c r="BV10" s="166"/>
      <c r="BW10" s="166"/>
      <c r="BX10" s="166"/>
      <c r="BY10" s="166"/>
      <c r="BZ10" s="166"/>
      <c r="CA10" s="166"/>
      <c r="CB10" s="166"/>
      <c r="CC10" s="166"/>
      <c r="CD10" s="166"/>
      <c r="CE10" s="166"/>
      <c r="CF10" s="166"/>
      <c r="CG10" s="166"/>
      <c r="CH10" s="166"/>
      <c r="CI10" s="166"/>
      <c r="CJ10" s="166"/>
      <c r="CK10" s="166"/>
      <c r="CL10" s="166"/>
      <c r="CM10" s="166"/>
      <c r="CN10" s="147"/>
      <c r="CO10"/>
      <c r="CP10"/>
      <c r="CQ10"/>
      <c r="CR10"/>
      <c r="CS10"/>
      <c r="CT10"/>
      <c r="CU10"/>
      <c r="CV10"/>
      <c r="CW10"/>
    </row>
    <row r="11" spans="1:101" ht="15.75" x14ac:dyDescent="0.25">
      <c r="H11" s="167"/>
      <c r="I11" s="167"/>
      <c r="J11" s="199">
        <v>2</v>
      </c>
      <c r="K11" s="200" t="s">
        <v>288</v>
      </c>
      <c r="L11" s="201" t="s">
        <v>237</v>
      </c>
      <c r="M11" s="202"/>
      <c r="N11" s="203"/>
      <c r="O11" s="204"/>
      <c r="P11" s="205"/>
      <c r="Q11" s="205"/>
      <c r="R11" s="204"/>
      <c r="S11" s="206" t="s">
        <v>305</v>
      </c>
      <c r="T11" s="206" t="s">
        <v>306</v>
      </c>
      <c r="U11" s="207" t="s">
        <v>326</v>
      </c>
      <c r="V11" s="208"/>
      <c r="W11" s="209">
        <v>1</v>
      </c>
      <c r="X11" s="210">
        <v>0.03</v>
      </c>
      <c r="Y11" s="169"/>
      <c r="Z11" s="169"/>
      <c r="AA11" s="168"/>
      <c r="AB11" s="168"/>
      <c r="AC11" s="168"/>
      <c r="AD11" s="168"/>
      <c r="AE11" s="170"/>
      <c r="AF11" s="167"/>
      <c r="AG11" s="167"/>
      <c r="AH11" s="167"/>
      <c r="AI11" s="167"/>
      <c r="AJ11" s="167"/>
      <c r="AK11" s="167"/>
      <c r="AL11" s="167"/>
      <c r="AM11" s="167"/>
      <c r="AN11" s="167"/>
      <c r="AO11" s="167"/>
      <c r="AP11" s="167"/>
      <c r="AQ11" s="167"/>
      <c r="AR11" s="167"/>
      <c r="AS11" s="167"/>
      <c r="AT11" s="167"/>
      <c r="AU11" s="167"/>
      <c r="AV11" s="167"/>
      <c r="AW11" s="167"/>
      <c r="AX11" s="167"/>
      <c r="AY11" s="167"/>
      <c r="AZ11" s="167"/>
      <c r="BA11" s="167"/>
      <c r="BB11" s="167"/>
      <c r="BC11" s="167"/>
      <c r="BD11" s="173"/>
      <c r="BE11" s="175"/>
      <c r="BG11" s="184"/>
      <c r="BH11" s="184"/>
      <c r="BI11" s="171"/>
      <c r="BJ11" s="171"/>
      <c r="BK11" s="171"/>
      <c r="BL11" s="171"/>
      <c r="BM11" s="171"/>
      <c r="BN11" s="171"/>
      <c r="BO11" s="171"/>
      <c r="BP11" s="171"/>
      <c r="BQ11" s="171"/>
      <c r="BR11" s="171"/>
      <c r="BS11" s="171"/>
      <c r="BT11" s="171"/>
      <c r="BU11" s="171"/>
      <c r="BV11" s="171"/>
      <c r="BW11" s="171"/>
      <c r="BX11" s="171"/>
      <c r="BY11" s="171"/>
      <c r="BZ11" s="171"/>
      <c r="CA11" s="171"/>
      <c r="CB11" s="171"/>
      <c r="CC11" s="171"/>
      <c r="CD11" s="171"/>
      <c r="CE11" s="171"/>
      <c r="CF11" s="171"/>
      <c r="CG11" s="171"/>
      <c r="CH11" s="171"/>
      <c r="CI11" s="171"/>
      <c r="CJ11" s="171"/>
      <c r="CK11" s="171"/>
      <c r="CL11" s="171"/>
      <c r="CM11" s="171"/>
    </row>
    <row r="12" spans="1:101" ht="15.75" x14ac:dyDescent="0.25">
      <c r="J12" s="211">
        <v>3</v>
      </c>
      <c r="K12" s="211" t="s">
        <v>289</v>
      </c>
      <c r="L12" s="212" t="s">
        <v>290</v>
      </c>
      <c r="M12" s="213"/>
      <c r="N12" s="214"/>
      <c r="O12" s="215"/>
      <c r="P12" s="216"/>
      <c r="Q12" s="216"/>
      <c r="R12" s="215"/>
      <c r="S12" s="217" t="s">
        <v>314</v>
      </c>
      <c r="T12" s="217" t="s">
        <v>307</v>
      </c>
      <c r="U12" s="218" t="s">
        <v>327</v>
      </c>
      <c r="V12" s="213"/>
      <c r="W12" s="219">
        <v>1</v>
      </c>
      <c r="X12" s="220">
        <v>0.05</v>
      </c>
      <c r="Y12" s="149"/>
      <c r="Z12" s="149"/>
      <c r="BD12" s="174"/>
      <c r="BG12" s="175"/>
      <c r="BH12" s="1"/>
      <c r="BI12" s="1"/>
      <c r="BJ12" s="185"/>
      <c r="BK12" s="185"/>
      <c r="BL12" s="1"/>
      <c r="BU12" s="1"/>
    </row>
    <row r="13" spans="1:101" ht="15.75" x14ac:dyDescent="0.25">
      <c r="J13" s="211">
        <v>4</v>
      </c>
      <c r="K13" s="211" t="s">
        <v>291</v>
      </c>
      <c r="L13" s="221" t="s">
        <v>237</v>
      </c>
      <c r="M13" s="213"/>
      <c r="N13" s="214"/>
      <c r="O13" s="215"/>
      <c r="P13" s="215"/>
      <c r="Q13" s="215"/>
      <c r="R13" s="215"/>
      <c r="S13" s="218" t="s">
        <v>315</v>
      </c>
      <c r="T13" s="218" t="s">
        <v>308</v>
      </c>
      <c r="U13" s="218" t="s">
        <v>328</v>
      </c>
      <c r="V13" s="213"/>
      <c r="W13" s="219">
        <v>1</v>
      </c>
      <c r="X13" s="220">
        <v>0.08</v>
      </c>
      <c r="BD13" s="174"/>
      <c r="BI13" s="1"/>
      <c r="BJ13" s="1"/>
      <c r="BK13" s="1"/>
      <c r="BL13" s="185"/>
    </row>
    <row r="14" spans="1:101" ht="15.75" x14ac:dyDescent="0.25">
      <c r="J14" s="211">
        <v>5</v>
      </c>
      <c r="K14" s="211" t="s">
        <v>304</v>
      </c>
      <c r="L14" s="221" t="s">
        <v>237</v>
      </c>
      <c r="M14" s="213"/>
      <c r="N14" s="214"/>
      <c r="O14" s="215"/>
      <c r="P14" s="215"/>
      <c r="Q14" s="215"/>
      <c r="R14" s="215"/>
      <c r="S14" s="218" t="s">
        <v>333</v>
      </c>
      <c r="T14" s="218" t="s">
        <v>301</v>
      </c>
      <c r="U14" s="218" t="s">
        <v>329</v>
      </c>
      <c r="V14" s="213"/>
      <c r="W14" s="219">
        <v>1</v>
      </c>
      <c r="X14" s="220">
        <v>0.13</v>
      </c>
      <c r="BD14" s="174"/>
      <c r="BI14" s="1"/>
      <c r="BJ14" s="1"/>
      <c r="BK14" s="1"/>
      <c r="BL14" s="1"/>
      <c r="BM14" s="1"/>
      <c r="BN14" s="185"/>
      <c r="BO14" s="185"/>
      <c r="BP14" s="185"/>
    </row>
    <row r="15" spans="1:101" ht="15.75" x14ac:dyDescent="0.25">
      <c r="J15" s="211">
        <v>6</v>
      </c>
      <c r="K15" s="211" t="s">
        <v>292</v>
      </c>
      <c r="L15" s="221" t="s">
        <v>237</v>
      </c>
      <c r="M15" s="213"/>
      <c r="N15" s="214"/>
      <c r="O15" s="215"/>
      <c r="P15" s="215"/>
      <c r="Q15" s="215"/>
      <c r="R15" s="215"/>
      <c r="S15" s="218" t="s">
        <v>301</v>
      </c>
      <c r="T15" s="218" t="s">
        <v>303</v>
      </c>
      <c r="U15" s="218" t="s">
        <v>331</v>
      </c>
      <c r="V15" s="213"/>
      <c r="W15" s="219">
        <v>1</v>
      </c>
      <c r="X15" s="220">
        <v>0.18</v>
      </c>
      <c r="BD15" s="174"/>
      <c r="BM15" s="1"/>
      <c r="BN15" s="1"/>
      <c r="BO15" s="1"/>
      <c r="BP15" s="185"/>
      <c r="BQ15" s="185"/>
      <c r="BR15" s="185"/>
      <c r="BS15" s="185"/>
      <c r="BT15" s="185"/>
    </row>
    <row r="16" spans="1:101" ht="15.75" x14ac:dyDescent="0.25">
      <c r="J16" s="211">
        <v>7</v>
      </c>
      <c r="K16" s="211" t="s">
        <v>312</v>
      </c>
      <c r="L16" s="221" t="s">
        <v>237</v>
      </c>
      <c r="M16" s="213"/>
      <c r="N16" s="214"/>
      <c r="O16" s="215"/>
      <c r="P16" s="215"/>
      <c r="Q16" s="215"/>
      <c r="R16" s="215"/>
      <c r="S16" s="218" t="s">
        <v>316</v>
      </c>
      <c r="T16" s="218" t="s">
        <v>302</v>
      </c>
      <c r="U16" s="218" t="s">
        <v>326</v>
      </c>
      <c r="V16" s="213"/>
      <c r="W16" s="219">
        <v>1</v>
      </c>
      <c r="X16" s="220">
        <v>0.25</v>
      </c>
      <c r="BD16" s="174"/>
      <c r="BO16" s="1"/>
      <c r="BP16" s="1"/>
      <c r="BQ16" s="1"/>
      <c r="BR16" s="185"/>
      <c r="BS16" s="185"/>
      <c r="BT16" s="1"/>
      <c r="BU16" s="1"/>
    </row>
    <row r="17" spans="10:91" ht="15.75" x14ac:dyDescent="0.25">
      <c r="J17" s="211">
        <v>8</v>
      </c>
      <c r="K17" s="211" t="s">
        <v>294</v>
      </c>
      <c r="L17" s="212" t="s">
        <v>290</v>
      </c>
      <c r="M17" s="213"/>
      <c r="N17" s="214"/>
      <c r="O17" s="215"/>
      <c r="P17" s="215"/>
      <c r="Q17" s="215"/>
      <c r="R17" s="215"/>
      <c r="S17" s="218" t="s">
        <v>303</v>
      </c>
      <c r="T17" s="218" t="s">
        <v>317</v>
      </c>
      <c r="U17" s="218" t="s">
        <v>329</v>
      </c>
      <c r="V17" s="213"/>
      <c r="W17" s="219">
        <v>1</v>
      </c>
      <c r="X17" s="220">
        <v>0.3</v>
      </c>
      <c r="BD17" s="174"/>
      <c r="BF17" s="1"/>
      <c r="BP17" s="1"/>
      <c r="BQ17" s="1"/>
      <c r="BT17" s="185"/>
      <c r="BU17" s="185"/>
      <c r="BV17" s="185"/>
      <c r="BW17" s="1"/>
      <c r="BX17" s="1"/>
    </row>
    <row r="18" spans="10:91" ht="15.75" x14ac:dyDescent="0.25">
      <c r="J18" s="211">
        <v>9</v>
      </c>
      <c r="K18" s="211" t="s">
        <v>298</v>
      </c>
      <c r="L18" s="212" t="s">
        <v>290</v>
      </c>
      <c r="M18" s="213"/>
      <c r="N18" s="214"/>
      <c r="O18" s="215"/>
      <c r="P18" s="215"/>
      <c r="Q18" s="215"/>
      <c r="R18" s="215"/>
      <c r="S18" s="218" t="s">
        <v>334</v>
      </c>
      <c r="T18" s="218" t="s">
        <v>316</v>
      </c>
      <c r="U18" s="218" t="s">
        <v>327</v>
      </c>
      <c r="V18" s="213"/>
      <c r="W18" s="219">
        <v>1</v>
      </c>
      <c r="X18" s="220">
        <v>0.34</v>
      </c>
      <c r="BD18" s="174"/>
      <c r="BF18" s="1"/>
      <c r="BQ18" s="185"/>
      <c r="BR18" s="185"/>
      <c r="BU18" s="1"/>
      <c r="BZ18" s="1"/>
      <c r="CA18" s="1"/>
    </row>
    <row r="19" spans="10:91" ht="15.75" x14ac:dyDescent="0.25">
      <c r="J19" s="211">
        <v>10</v>
      </c>
      <c r="K19" s="233" t="s">
        <v>339</v>
      </c>
      <c r="L19" s="212" t="s">
        <v>290</v>
      </c>
      <c r="S19" s="218" t="s">
        <v>318</v>
      </c>
      <c r="T19" s="218" t="s">
        <v>320</v>
      </c>
      <c r="U19" s="218" t="s">
        <v>327</v>
      </c>
      <c r="W19" s="219">
        <v>1</v>
      </c>
      <c r="X19" s="220">
        <v>0.38</v>
      </c>
      <c r="BD19" s="174"/>
      <c r="BR19" s="1"/>
      <c r="BS19" s="1"/>
      <c r="BX19" s="1"/>
      <c r="BZ19" s="185"/>
      <c r="CA19" s="185"/>
      <c r="CB19" s="185"/>
    </row>
    <row r="20" spans="10:91" ht="15.75" x14ac:dyDescent="0.25">
      <c r="J20" s="211">
        <v>11</v>
      </c>
      <c r="K20" s="211" t="s">
        <v>299</v>
      </c>
      <c r="L20" s="221" t="s">
        <v>237</v>
      </c>
      <c r="M20" s="213"/>
      <c r="N20" s="214"/>
      <c r="O20" s="215"/>
      <c r="P20" s="215"/>
      <c r="Q20" s="215"/>
      <c r="R20" s="215"/>
      <c r="S20" s="218" t="s">
        <v>335</v>
      </c>
      <c r="T20" s="218" t="s">
        <v>336</v>
      </c>
      <c r="U20" s="218" t="s">
        <v>329</v>
      </c>
      <c r="V20" s="219"/>
      <c r="W20" s="219">
        <v>1</v>
      </c>
      <c r="X20" s="220">
        <v>0.42</v>
      </c>
      <c r="BD20" s="174"/>
      <c r="BS20" s="1"/>
      <c r="BT20" s="1"/>
      <c r="BX20" s="185"/>
      <c r="BY20" s="185"/>
    </row>
    <row r="21" spans="10:91" ht="15.75" x14ac:dyDescent="0.25">
      <c r="J21" s="211">
        <v>12</v>
      </c>
      <c r="K21" s="211" t="s">
        <v>325</v>
      </c>
      <c r="L21" s="212" t="s">
        <v>290</v>
      </c>
      <c r="M21" s="213"/>
      <c r="N21" s="214"/>
      <c r="O21" s="215"/>
      <c r="P21" s="215"/>
      <c r="Q21" s="215"/>
      <c r="R21" s="215"/>
      <c r="S21" s="218" t="s">
        <v>316</v>
      </c>
      <c r="T21" s="218" t="s">
        <v>302</v>
      </c>
      <c r="U21" s="218" t="s">
        <v>326</v>
      </c>
      <c r="V21" s="219"/>
      <c r="W21" s="219">
        <v>1</v>
      </c>
      <c r="X21" s="220">
        <v>0.44</v>
      </c>
      <c r="BD21" s="174"/>
      <c r="BR21" s="185"/>
      <c r="BS21" s="185"/>
      <c r="BT21" s="1"/>
      <c r="BU21" s="1"/>
      <c r="BZ21" s="1"/>
      <c r="CA21" s="1"/>
    </row>
    <row r="22" spans="10:91" ht="15.75" x14ac:dyDescent="0.25">
      <c r="J22" s="211">
        <v>13</v>
      </c>
      <c r="K22" s="211" t="s">
        <v>324</v>
      </c>
      <c r="L22" s="221" t="s">
        <v>237</v>
      </c>
      <c r="M22" s="213"/>
      <c r="N22" s="214"/>
      <c r="O22" s="215"/>
      <c r="P22" s="215"/>
      <c r="Q22" s="215"/>
      <c r="R22" s="215"/>
      <c r="S22" s="218" t="s">
        <v>318</v>
      </c>
      <c r="T22" s="218" t="s">
        <v>319</v>
      </c>
      <c r="U22" s="218" t="s">
        <v>326</v>
      </c>
      <c r="V22" s="219"/>
      <c r="W22" s="219">
        <v>1</v>
      </c>
      <c r="X22" s="220">
        <v>0.44</v>
      </c>
      <c r="BD22" s="174"/>
      <c r="BU22" s="1"/>
      <c r="BV22" s="1"/>
      <c r="BZ22" s="185"/>
      <c r="CA22" s="185"/>
      <c r="CC22" s="1"/>
    </row>
    <row r="23" spans="10:91" ht="15.75" x14ac:dyDescent="0.25">
      <c r="J23" s="211">
        <v>14</v>
      </c>
      <c r="K23" s="211" t="s">
        <v>323</v>
      </c>
      <c r="L23" s="221" t="s">
        <v>237</v>
      </c>
      <c r="M23" s="213"/>
      <c r="N23" s="214"/>
      <c r="O23" s="215"/>
      <c r="P23" s="215"/>
      <c r="Q23" s="215"/>
      <c r="R23" s="215"/>
      <c r="S23" s="218" t="s">
        <v>319</v>
      </c>
      <c r="T23" s="218" t="s">
        <v>319</v>
      </c>
      <c r="U23" s="218" t="s">
        <v>328</v>
      </c>
      <c r="V23" s="219"/>
      <c r="W23" s="219">
        <v>1</v>
      </c>
      <c r="X23" s="220">
        <v>0.44</v>
      </c>
      <c r="BD23" s="174"/>
      <c r="BV23" s="1"/>
      <c r="BW23" s="1"/>
      <c r="BX23" s="1"/>
      <c r="CA23" s="185"/>
      <c r="CD23" s="1"/>
    </row>
    <row r="24" spans="10:91" ht="15.75" x14ac:dyDescent="0.25">
      <c r="J24" s="211">
        <v>15</v>
      </c>
      <c r="K24" s="211" t="s">
        <v>300</v>
      </c>
      <c r="L24" s="212" t="s">
        <v>290</v>
      </c>
      <c r="M24" s="213"/>
      <c r="N24" s="214"/>
      <c r="O24" s="215"/>
      <c r="P24" s="215"/>
      <c r="Q24" s="215"/>
      <c r="R24" s="215"/>
      <c r="S24" s="218" t="s">
        <v>318</v>
      </c>
      <c r="T24" s="218" t="s">
        <v>320</v>
      </c>
      <c r="U24" s="218" t="s">
        <v>327</v>
      </c>
      <c r="V24" s="219"/>
      <c r="W24" s="219">
        <v>1</v>
      </c>
      <c r="X24" s="220">
        <v>0.5</v>
      </c>
      <c r="BD24" s="174"/>
      <c r="BR24" s="1"/>
      <c r="BW24" s="1"/>
      <c r="BX24" s="1"/>
      <c r="BY24" s="1"/>
      <c r="BZ24" s="185"/>
      <c r="CA24" s="185"/>
      <c r="CB24" s="185"/>
      <c r="CF24" s="1"/>
      <c r="CG24" s="1"/>
    </row>
    <row r="25" spans="10:91" ht="15.75" x14ac:dyDescent="0.25">
      <c r="J25" s="211">
        <v>16</v>
      </c>
      <c r="K25" s="211" t="s">
        <v>295</v>
      </c>
      <c r="L25" s="212" t="s">
        <v>290</v>
      </c>
      <c r="M25" s="213"/>
      <c r="N25" s="214"/>
      <c r="O25" s="215"/>
      <c r="P25" s="215"/>
      <c r="Q25" s="215"/>
      <c r="R25" s="215"/>
      <c r="S25" s="218" t="s">
        <v>319</v>
      </c>
      <c r="T25" s="218" t="s">
        <v>340</v>
      </c>
      <c r="U25" s="218" t="s">
        <v>346</v>
      </c>
      <c r="V25" s="219"/>
      <c r="W25" s="219">
        <v>1</v>
      </c>
      <c r="X25" s="220">
        <v>0.56000000000000005</v>
      </c>
      <c r="BY25" s="1"/>
      <c r="BZ25" s="1"/>
      <c r="CA25" s="185"/>
      <c r="CB25" s="185"/>
      <c r="CC25" s="185"/>
      <c r="CD25" s="185"/>
      <c r="CE25" s="185"/>
      <c r="CF25" s="185"/>
      <c r="CG25" s="185"/>
      <c r="CH25" s="185"/>
      <c r="CI25" s="185"/>
      <c r="CJ25" s="185"/>
      <c r="CK25" s="185"/>
      <c r="CL25" s="185"/>
      <c r="CM25" s="185"/>
    </row>
    <row r="26" spans="10:91" ht="15.75" x14ac:dyDescent="0.25">
      <c r="J26" s="211">
        <v>17</v>
      </c>
      <c r="K26" s="211" t="s">
        <v>310</v>
      </c>
      <c r="L26" s="221" t="s">
        <v>237</v>
      </c>
      <c r="M26" s="213"/>
      <c r="N26" s="214"/>
      <c r="O26" s="215"/>
      <c r="P26" s="215"/>
      <c r="Q26" s="215"/>
      <c r="R26" s="215"/>
      <c r="S26" s="218" t="s">
        <v>319</v>
      </c>
      <c r="T26" s="218" t="s">
        <v>322</v>
      </c>
      <c r="U26" s="218" t="s">
        <v>347</v>
      </c>
      <c r="V26" s="219"/>
      <c r="W26" s="219">
        <v>1</v>
      </c>
      <c r="X26" s="220">
        <v>0.62</v>
      </c>
      <c r="CA26" s="185"/>
      <c r="CB26" s="185"/>
      <c r="CC26" s="185"/>
      <c r="CD26" s="185"/>
      <c r="CE26" s="185"/>
      <c r="CF26" s="185"/>
      <c r="CG26" s="185"/>
      <c r="CH26" s="185"/>
      <c r="CI26" s="185"/>
      <c r="CJ26" s="185"/>
      <c r="CK26" s="185"/>
      <c r="CL26" s="185"/>
      <c r="CM26" s="185"/>
    </row>
    <row r="27" spans="10:91" ht="15.75" x14ac:dyDescent="0.25">
      <c r="J27" s="211">
        <v>18</v>
      </c>
      <c r="K27" s="211" t="s">
        <v>296</v>
      </c>
      <c r="L27" s="221" t="s">
        <v>237</v>
      </c>
      <c r="M27" s="213"/>
      <c r="N27" s="214"/>
      <c r="O27" s="215"/>
      <c r="P27" s="215"/>
      <c r="Q27" s="215"/>
      <c r="R27" s="215"/>
      <c r="S27" s="218" t="s">
        <v>319</v>
      </c>
      <c r="T27" s="218" t="s">
        <v>322</v>
      </c>
      <c r="U27" s="218" t="s">
        <v>347</v>
      </c>
      <c r="V27" s="219"/>
      <c r="W27" s="219">
        <v>1</v>
      </c>
      <c r="X27" s="220">
        <v>0.68</v>
      </c>
      <c r="CA27" s="185"/>
      <c r="CB27" s="185"/>
      <c r="CC27" s="185"/>
      <c r="CD27" s="185"/>
      <c r="CE27" s="185"/>
      <c r="CF27" s="185"/>
      <c r="CG27" s="185"/>
      <c r="CH27" s="185"/>
      <c r="CI27" s="185"/>
      <c r="CJ27" s="185"/>
      <c r="CK27" s="185"/>
      <c r="CL27" s="185"/>
      <c r="CM27" s="185"/>
    </row>
    <row r="28" spans="10:91" ht="15.75" x14ac:dyDescent="0.25">
      <c r="J28" s="211">
        <v>19</v>
      </c>
      <c r="K28" s="211" t="s">
        <v>297</v>
      </c>
      <c r="L28" s="221" t="s">
        <v>237</v>
      </c>
      <c r="M28" s="213"/>
      <c r="N28" s="214"/>
      <c r="O28" s="215"/>
      <c r="P28" s="215"/>
      <c r="Q28" s="215"/>
      <c r="R28" s="215"/>
      <c r="S28" s="218" t="s">
        <v>319</v>
      </c>
      <c r="T28" s="218" t="s">
        <v>322</v>
      </c>
      <c r="U28" s="218" t="s">
        <v>347</v>
      </c>
      <c r="V28" s="219"/>
      <c r="W28" s="219">
        <v>1</v>
      </c>
      <c r="X28" s="220">
        <v>0.74</v>
      </c>
      <c r="CA28" s="185"/>
      <c r="CB28" s="185"/>
      <c r="CC28" s="185"/>
      <c r="CD28" s="185"/>
      <c r="CE28" s="185"/>
      <c r="CF28" s="185"/>
      <c r="CG28" s="185"/>
      <c r="CH28" s="185"/>
      <c r="CI28" s="185"/>
      <c r="CJ28" s="185"/>
      <c r="CK28" s="185"/>
      <c r="CL28" s="185"/>
      <c r="CM28" s="185"/>
    </row>
    <row r="29" spans="10:91" ht="15.75" x14ac:dyDescent="0.25">
      <c r="J29" s="211">
        <v>20</v>
      </c>
      <c r="K29" s="211" t="s">
        <v>321</v>
      </c>
      <c r="L29" s="212" t="s">
        <v>290</v>
      </c>
      <c r="S29" s="218" t="s">
        <v>337</v>
      </c>
      <c r="T29" s="218" t="s">
        <v>338</v>
      </c>
      <c r="U29" s="218" t="s">
        <v>330</v>
      </c>
      <c r="V29" s="177"/>
      <c r="W29" s="219">
        <v>1</v>
      </c>
      <c r="X29" s="220">
        <v>0.78</v>
      </c>
      <c r="CF29" s="1"/>
      <c r="CI29" s="185"/>
      <c r="CJ29" s="185"/>
      <c r="CK29" s="185"/>
      <c r="CL29" s="185"/>
    </row>
    <row r="30" spans="10:91" ht="15.75" x14ac:dyDescent="0.25">
      <c r="J30" s="233">
        <v>21</v>
      </c>
      <c r="K30" s="211" t="s">
        <v>311</v>
      </c>
      <c r="L30" s="212" t="s">
        <v>290</v>
      </c>
      <c r="S30" s="218" t="s">
        <v>357</v>
      </c>
      <c r="T30" s="218" t="s">
        <v>358</v>
      </c>
      <c r="U30" s="218" t="s">
        <v>328</v>
      </c>
      <c r="V30" s="219"/>
      <c r="W30" s="219">
        <v>1</v>
      </c>
      <c r="X30" s="220">
        <v>0.84</v>
      </c>
    </row>
    <row r="31" spans="10:91" ht="15.75" x14ac:dyDescent="0.25">
      <c r="J31" s="211">
        <v>22</v>
      </c>
      <c r="K31" s="211" t="s">
        <v>341</v>
      </c>
      <c r="L31" s="221" t="s">
        <v>237</v>
      </c>
      <c r="S31" s="218" t="s">
        <v>333</v>
      </c>
      <c r="T31" s="218" t="s">
        <v>301</v>
      </c>
      <c r="U31" s="218" t="s">
        <v>329</v>
      </c>
      <c r="W31" s="219">
        <v>1</v>
      </c>
      <c r="X31" s="220">
        <v>0.92</v>
      </c>
      <c r="BN31" s="185"/>
      <c r="BO31" s="185"/>
    </row>
    <row r="32" spans="10:91" ht="15.75" x14ac:dyDescent="0.25">
      <c r="J32" s="211">
        <v>23</v>
      </c>
      <c r="K32" s="211" t="s">
        <v>342</v>
      </c>
      <c r="L32" s="212" t="s">
        <v>290</v>
      </c>
      <c r="S32" s="218" t="s">
        <v>333</v>
      </c>
      <c r="T32" s="218" t="s">
        <v>301</v>
      </c>
      <c r="U32" s="218" t="s">
        <v>329</v>
      </c>
      <c r="W32" s="219">
        <v>1</v>
      </c>
      <c r="X32" s="220">
        <v>0.94</v>
      </c>
      <c r="BN32" s="185"/>
      <c r="BO32" s="185"/>
    </row>
    <row r="33" spans="10:91" ht="15.75" x14ac:dyDescent="0.25">
      <c r="J33" s="211">
        <v>24</v>
      </c>
      <c r="K33" s="211" t="s">
        <v>343</v>
      </c>
      <c r="L33" s="212" t="s">
        <v>290</v>
      </c>
      <c r="S33" s="218" t="s">
        <v>344</v>
      </c>
      <c r="T33" s="218" t="s">
        <v>322</v>
      </c>
      <c r="U33" s="218" t="s">
        <v>330</v>
      </c>
      <c r="W33" s="219">
        <v>1</v>
      </c>
      <c r="X33" s="220">
        <v>0.96</v>
      </c>
      <c r="CK33" s="185"/>
      <c r="CL33" s="185"/>
      <c r="CM33" s="185"/>
    </row>
    <row r="34" spans="10:91" ht="15.75" x14ac:dyDescent="0.25">
      <c r="J34" s="211">
        <v>25</v>
      </c>
      <c r="K34" s="211" t="s">
        <v>345</v>
      </c>
      <c r="L34" s="221" t="s">
        <v>237</v>
      </c>
      <c r="S34" s="218" t="s">
        <v>344</v>
      </c>
      <c r="T34" s="218" t="s">
        <v>322</v>
      </c>
      <c r="U34" s="218" t="s">
        <v>330</v>
      </c>
      <c r="V34" s="137" t="s">
        <v>332</v>
      </c>
      <c r="W34" s="219">
        <v>1</v>
      </c>
      <c r="X34" s="220">
        <v>1</v>
      </c>
      <c r="CK34" s="185"/>
      <c r="CL34" s="185"/>
      <c r="CM34" s="185"/>
    </row>
    <row r="39" spans="10:91" ht="15.75" x14ac:dyDescent="0.25">
      <c r="U39" s="137" t="s">
        <v>348</v>
      </c>
    </row>
    <row r="43" spans="10:91" ht="15.75" x14ac:dyDescent="0.25">
      <c r="K43" s="218"/>
      <c r="L43" s="218"/>
    </row>
    <row r="44" spans="10:91" ht="15.75" x14ac:dyDescent="0.25">
      <c r="K44" s="218"/>
      <c r="L44" s="218"/>
    </row>
    <row r="45" spans="10:91" ht="15.75" x14ac:dyDescent="0.25">
      <c r="K45" s="218"/>
      <c r="L45" s="218"/>
    </row>
    <row r="46" spans="10:91" ht="15.75" x14ac:dyDescent="0.25">
      <c r="K46" s="218"/>
      <c r="L46" s="218"/>
    </row>
    <row r="47" spans="10:91" ht="15.75" x14ac:dyDescent="0.25">
      <c r="K47" s="218"/>
      <c r="L47" s="218"/>
    </row>
    <row r="48" spans="10:91" ht="15.75" x14ac:dyDescent="0.25">
      <c r="K48" s="218"/>
      <c r="L48" s="218"/>
    </row>
    <row r="49" spans="11:12" ht="15.75" x14ac:dyDescent="0.25">
      <c r="K49" s="218"/>
      <c r="L49" s="218"/>
    </row>
    <row r="50" spans="11:12" ht="15.75" x14ac:dyDescent="0.25">
      <c r="K50" s="218"/>
      <c r="L50" s="218"/>
    </row>
    <row r="51" spans="11:12" ht="15.75" x14ac:dyDescent="0.25">
      <c r="K51" s="218"/>
      <c r="L51" s="218"/>
    </row>
    <row r="52" spans="11:12" ht="15.75" x14ac:dyDescent="0.25">
      <c r="K52" s="218"/>
      <c r="L52" s="218"/>
    </row>
    <row r="53" spans="11:12" ht="15.75" x14ac:dyDescent="0.25">
      <c r="K53" s="218"/>
      <c r="L53" s="218"/>
    </row>
    <row r="54" spans="11:12" ht="15.75" x14ac:dyDescent="0.25">
      <c r="K54" s="218"/>
      <c r="L54" s="218"/>
    </row>
    <row r="55" spans="11:12" ht="15.75" x14ac:dyDescent="0.25">
      <c r="K55" s="218"/>
      <c r="L55" s="218"/>
    </row>
    <row r="56" spans="11:12" ht="15.75" x14ac:dyDescent="0.25">
      <c r="K56" s="222"/>
      <c r="L56" s="218"/>
    </row>
    <row r="57" spans="11:12" ht="15.75" x14ac:dyDescent="0.25">
      <c r="K57" s="218"/>
      <c r="L57" s="218"/>
    </row>
    <row r="58" spans="11:12" ht="15.75" x14ac:dyDescent="0.25">
      <c r="K58" s="218"/>
      <c r="L58" s="218"/>
    </row>
  </sheetData>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EC4F8605-D746-44D0-8D83-2F60A97DA702}">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elp"/>
  <dimension ref="B2:VGB31"/>
  <sheetViews>
    <sheetView showGridLines="0" showRowColHeaders="0" zoomScaleNormal="100" workbookViewId="0">
      <selection activeCell="F4" sqref="F4"/>
    </sheetView>
  </sheetViews>
  <sheetFormatPr defaultColWidth="9.140625" defaultRowHeight="15" x14ac:dyDescent="0.25"/>
  <cols>
    <col min="1" max="1" width="9.140625" style="76"/>
    <col min="2" max="2" width="1" style="76" customWidth="1"/>
    <col min="3" max="3" width="6.28515625" style="76" customWidth="1"/>
    <col min="4" max="4" width="1.28515625" style="76" customWidth="1"/>
    <col min="5" max="15" width="9.140625" style="76" customWidth="1"/>
    <col min="16" max="16" width="9.28515625" style="76" customWidth="1"/>
    <col min="17" max="18" width="9.140625" style="76" customWidth="1"/>
    <col min="19" max="19" width="8.28515625" style="76" customWidth="1"/>
    <col min="20" max="20" width="9.140625" style="76" customWidth="1"/>
    <col min="21" max="21" width="9.28515625" style="76" customWidth="1"/>
    <col min="22" max="22" width="2" style="76" customWidth="1"/>
    <col min="23" max="23" width="0.85546875" style="76" customWidth="1"/>
    <col min="24" max="16384" width="9.140625" style="76"/>
  </cols>
  <sheetData>
    <row r="2" spans="2:23 15055:15056" ht="5.25" customHeight="1" x14ac:dyDescent="0.25">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x14ac:dyDescent="0.25">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x14ac:dyDescent="0.25">
      <c r="B4" s="19"/>
      <c r="C4" s="33"/>
      <c r="D4" s="33"/>
      <c r="H4" s="270" t="s">
        <v>157</v>
      </c>
      <c r="I4" s="270"/>
      <c r="J4" s="270"/>
      <c r="K4" s="270"/>
      <c r="L4" s="270"/>
      <c r="M4" s="270"/>
      <c r="N4" s="270"/>
      <c r="O4" s="270"/>
      <c r="P4" s="270"/>
      <c r="Q4" s="270"/>
      <c r="R4" s="270"/>
      <c r="S4" s="270"/>
      <c r="T4" s="33"/>
      <c r="U4" s="33"/>
      <c r="V4" s="33"/>
      <c r="W4" s="19"/>
    </row>
    <row r="5" spans="2:23 15055:15056" ht="15" customHeight="1" x14ac:dyDescent="0.55000000000000004">
      <c r="B5" s="19"/>
      <c r="C5" s="33"/>
      <c r="D5" s="33"/>
      <c r="G5" s="90"/>
      <c r="H5" s="270"/>
      <c r="I5" s="270"/>
      <c r="J5" s="270"/>
      <c r="K5" s="270"/>
      <c r="L5" s="270"/>
      <c r="M5" s="270"/>
      <c r="N5" s="270"/>
      <c r="O5" s="270"/>
      <c r="P5" s="270"/>
      <c r="Q5" s="270"/>
      <c r="R5" s="270"/>
      <c r="S5" s="270"/>
      <c r="W5" s="19"/>
    </row>
    <row r="6" spans="2:23 15055:15056" ht="35.450000000000003" customHeight="1" x14ac:dyDescent="0.25">
      <c r="B6" s="19"/>
      <c r="C6" s="33"/>
      <c r="D6" s="33"/>
      <c r="K6" s="67"/>
      <c r="L6" s="67"/>
      <c r="M6" s="67"/>
      <c r="N6" s="67"/>
      <c r="O6" s="67"/>
      <c r="P6" s="67"/>
      <c r="Q6" s="33"/>
      <c r="R6" s="33"/>
      <c r="S6" s="68"/>
      <c r="T6" s="33"/>
      <c r="U6" s="33"/>
      <c r="V6" s="33"/>
      <c r="W6" s="19"/>
    </row>
    <row r="7" spans="2:23 15055:15056" ht="15" customHeight="1" x14ac:dyDescent="0.25">
      <c r="B7" s="19"/>
      <c r="C7" s="69" t="s">
        <v>156</v>
      </c>
      <c r="D7" s="33"/>
      <c r="K7" s="67"/>
      <c r="L7" s="67"/>
      <c r="M7" s="67"/>
      <c r="N7" s="67"/>
      <c r="O7" s="67"/>
      <c r="P7" s="67"/>
      <c r="Q7" s="33"/>
      <c r="R7" s="33"/>
      <c r="S7" s="68"/>
      <c r="T7" s="33"/>
      <c r="U7" s="33"/>
      <c r="V7" s="33"/>
      <c r="W7" s="19"/>
    </row>
    <row r="8" spans="2:23 15055:15056" ht="3.95" customHeight="1" x14ac:dyDescent="0.25">
      <c r="B8" s="19"/>
      <c r="C8" s="19"/>
      <c r="D8" s="19"/>
      <c r="E8" s="19"/>
      <c r="F8" s="19"/>
      <c r="G8" s="19"/>
      <c r="H8" s="19"/>
      <c r="I8" s="19"/>
      <c r="J8" s="19"/>
      <c r="K8" s="70"/>
      <c r="L8" s="70"/>
      <c r="M8" s="70"/>
      <c r="N8" s="70"/>
      <c r="O8" s="70"/>
      <c r="P8" s="70"/>
      <c r="Q8" s="19"/>
      <c r="R8" s="19"/>
      <c r="S8" s="71"/>
      <c r="T8" s="19"/>
      <c r="U8" s="19"/>
      <c r="V8" s="19"/>
      <c r="W8" s="19"/>
    </row>
    <row r="9" spans="2:23 15055:15056" ht="45.75" customHeight="1" x14ac:dyDescent="0.25">
      <c r="B9" s="19"/>
      <c r="G9" s="269" t="s">
        <v>1</v>
      </c>
      <c r="H9" s="269"/>
      <c r="I9" s="269"/>
      <c r="J9" s="269"/>
      <c r="K9" s="269"/>
      <c r="L9" s="269"/>
      <c r="M9" s="269"/>
      <c r="N9" s="269"/>
      <c r="O9" s="269"/>
      <c r="P9" s="269"/>
      <c r="Q9" s="269"/>
      <c r="R9" s="269"/>
      <c r="S9" s="269"/>
      <c r="W9" s="19"/>
    </row>
    <row r="10" spans="2:23 15055:15056" ht="15" customHeight="1" x14ac:dyDescent="0.3">
      <c r="B10" s="19"/>
      <c r="C10" s="76">
        <v>1</v>
      </c>
      <c r="D10" s="72">
        <v>1</v>
      </c>
      <c r="E10" s="73" t="s">
        <v>80</v>
      </c>
      <c r="F10" s="33"/>
      <c r="G10" s="269"/>
      <c r="H10" s="269"/>
      <c r="I10" s="269"/>
      <c r="J10" s="269"/>
      <c r="K10" s="269"/>
      <c r="L10" s="269"/>
      <c r="M10" s="269"/>
      <c r="N10" s="269"/>
      <c r="O10" s="269"/>
      <c r="P10" s="269"/>
      <c r="Q10" s="269"/>
      <c r="R10" s="269"/>
      <c r="S10" s="269"/>
      <c r="T10" s="74"/>
      <c r="U10" s="74"/>
      <c r="V10" s="74"/>
      <c r="W10" s="19"/>
    </row>
    <row r="11" spans="2:23 15055:15056" ht="15" customHeight="1" x14ac:dyDescent="0.25">
      <c r="B11" s="19"/>
      <c r="E11" s="267" t="s">
        <v>70</v>
      </c>
      <c r="F11" s="268"/>
      <c r="G11" s="268"/>
      <c r="H11" s="268"/>
      <c r="I11" s="268"/>
      <c r="W11" s="19"/>
    </row>
    <row r="12" spans="2:23 15055:15056" ht="15" customHeight="1" x14ac:dyDescent="0.25">
      <c r="B12" s="19"/>
      <c r="W12" s="19"/>
    </row>
    <row r="13" spans="2:23 15055:15056" ht="15" customHeight="1" x14ac:dyDescent="0.3">
      <c r="B13" s="19"/>
      <c r="C13" s="76">
        <v>2</v>
      </c>
      <c r="E13" s="73" t="s">
        <v>158</v>
      </c>
      <c r="W13" s="19"/>
    </row>
    <row r="14" spans="2:23 15055:15056" ht="15" customHeight="1" x14ac:dyDescent="0.25">
      <c r="B14" s="19"/>
      <c r="W14" s="19"/>
    </row>
    <row r="15" spans="2:23 15055:15056" ht="15" customHeight="1" x14ac:dyDescent="0.25">
      <c r="B15" s="19"/>
      <c r="W15" s="19"/>
    </row>
    <row r="16" spans="2:23 15055:15056" ht="15" customHeight="1" x14ac:dyDescent="0.25">
      <c r="B16" s="19"/>
      <c r="W16" s="19"/>
    </row>
    <row r="17" spans="2:23" ht="15" customHeight="1" x14ac:dyDescent="0.25">
      <c r="B17" s="19"/>
      <c r="W17" s="19"/>
    </row>
    <row r="18" spans="2:23" ht="15" customHeight="1" x14ac:dyDescent="0.25">
      <c r="B18" s="19"/>
      <c r="W18" s="19"/>
    </row>
    <row r="19" spans="2:23" ht="15" customHeight="1" x14ac:dyDescent="0.25">
      <c r="B19" s="19"/>
      <c r="W19" s="19"/>
    </row>
    <row r="20" spans="2:23" ht="15" customHeight="1" x14ac:dyDescent="0.25">
      <c r="B20" s="19"/>
      <c r="W20" s="19"/>
    </row>
    <row r="21" spans="2:23" ht="15" customHeight="1" x14ac:dyDescent="0.25">
      <c r="B21" s="19"/>
      <c r="W21" s="19"/>
    </row>
    <row r="22" spans="2:23" ht="15" customHeight="1" x14ac:dyDescent="0.25">
      <c r="B22" s="19"/>
      <c r="E22" s="267" t="s">
        <v>285</v>
      </c>
      <c r="F22" s="268"/>
      <c r="G22" s="268"/>
      <c r="H22" s="268"/>
      <c r="W22" s="19"/>
    </row>
    <row r="23" spans="2:23" ht="15" customHeight="1" x14ac:dyDescent="0.25">
      <c r="B23" s="19"/>
      <c r="E23" s="267" t="s">
        <v>0</v>
      </c>
      <c r="F23" s="268"/>
      <c r="G23" s="268"/>
      <c r="H23" s="268"/>
      <c r="W23" s="19"/>
    </row>
    <row r="24" spans="2:23" ht="15" customHeight="1" x14ac:dyDescent="0.25">
      <c r="B24" s="19"/>
      <c r="W24" s="19"/>
    </row>
    <row r="25" spans="2:23" ht="3.75" customHeight="1" x14ac:dyDescent="0.25">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x14ac:dyDescent="0.25"/>
    <row r="31" spans="2:23" x14ac:dyDescent="0.25">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00000000-0004-0000-0500-000000000000}"/>
    <hyperlink ref="E22" r:id="rId2" tooltip="Quick Start Guide" xr:uid="{00000000-0004-0000-0500-000001000000}"/>
    <hyperlink ref="E23" r:id="rId3" tooltip="Click Here For Documentation"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ST1"/>
  <dimension ref="A1:LZ7"/>
  <sheetViews>
    <sheetView workbookViewId="0">
      <selection activeCell="G26" sqref="G26"/>
    </sheetView>
  </sheetViews>
  <sheetFormatPr defaultColWidth="9.140625" defaultRowHeight="15" x14ac:dyDescent="0.25"/>
  <cols>
    <col min="1" max="11" width="9.140625" style="131"/>
    <col min="12" max="13" width="14.85546875" style="131" customWidth="1"/>
    <col min="14" max="14" width="12.85546875" style="131" customWidth="1"/>
    <col min="15" max="19" width="9.140625" style="131"/>
    <col min="20" max="20" width="12.7109375" style="131" customWidth="1"/>
    <col min="21" max="27" width="9.140625" style="131"/>
    <col min="28" max="28" width="19.7109375" style="131" customWidth="1"/>
    <col min="29" max="16384" width="9.140625" style="131"/>
  </cols>
  <sheetData>
    <row r="1" spans="1:338" x14ac:dyDescent="0.25">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x14ac:dyDescent="0.25">
      <c r="A2" s="76" t="s">
        <v>113</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29</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44431</v>
      </c>
      <c r="CK2" s="15">
        <v>44465</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x14ac:dyDescent="0.25">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x14ac:dyDescent="0.25">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x14ac:dyDescent="0.25">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x14ac:dyDescent="0.25">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x14ac:dyDescent="0.25">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2"/>
  <sheetViews>
    <sheetView workbookViewId="0"/>
  </sheetViews>
  <sheetFormatPr defaultRowHeight="15" x14ac:dyDescent="0.25"/>
  <sheetData>
    <row r="1" spans="1:20" x14ac:dyDescent="0.25">
      <c r="A1" t="s">
        <v>225</v>
      </c>
      <c r="B1" t="s">
        <v>248</v>
      </c>
      <c r="C1" t="s">
        <v>249</v>
      </c>
      <c r="D1" t="s">
        <v>250</v>
      </c>
      <c r="K1" t="s">
        <v>251</v>
      </c>
      <c r="L1" t="s">
        <v>252</v>
      </c>
      <c r="M1" t="s">
        <v>253</v>
      </c>
      <c r="N1" t="s">
        <v>254</v>
      </c>
      <c r="O1" t="s">
        <v>255</v>
      </c>
      <c r="P1" t="s">
        <v>256</v>
      </c>
      <c r="Q1" t="s">
        <v>257</v>
      </c>
      <c r="R1" t="s">
        <v>258</v>
      </c>
      <c r="S1" t="s">
        <v>259</v>
      </c>
      <c r="T1" t="s">
        <v>260</v>
      </c>
    </row>
    <row r="2" spans="1:20" x14ac:dyDescent="0.25">
      <c r="A2" t="s">
        <v>261</v>
      </c>
      <c r="C2" t="b">
        <v>0</v>
      </c>
      <c r="E2" s="132" t="s">
        <v>262</v>
      </c>
      <c r="K2" s="133">
        <v>0.375</v>
      </c>
      <c r="L2" s="133">
        <v>0.75</v>
      </c>
      <c r="M2">
        <v>0</v>
      </c>
      <c r="N2">
        <v>1</v>
      </c>
      <c r="O2">
        <v>1</v>
      </c>
      <c r="P2">
        <v>1</v>
      </c>
      <c r="Q2">
        <v>1</v>
      </c>
      <c r="R2">
        <v>1</v>
      </c>
      <c r="S2">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Mayur</cp:lastModifiedBy>
  <cp:revision>0</cp:revision>
  <cp:lastPrinted>2021-08-08T06:33:54Z</cp:lastPrinted>
  <dcterms:created xsi:type="dcterms:W3CDTF">2016-09-10T13:03:48Z</dcterms:created>
  <dcterms:modified xsi:type="dcterms:W3CDTF">2021-11-26T05:30:30Z</dcterms:modified>
  <cp:category>Excel Template</cp:category>
  <cp:version>3.0</cp:version>
</cp:coreProperties>
</file>